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au549385/Desktop/"/>
    </mc:Choice>
  </mc:AlternateContent>
  <xr:revisionPtr revIDLastSave="0" documentId="13_ncr:20001_{80C6443D-6B22-6845-948D-0D89B04AF05D}" xr6:coauthVersionLast="47" xr6:coauthVersionMax="47" xr10:uidLastSave="{00000000-0000-0000-0000-000000000000}"/>
  <bookViews>
    <workbookView xWindow="0" yWindow="0" windowWidth="28800" windowHeight="18000" activeTab="2" xr2:uid="{00000000-000D-0000-FFFF-FFFF00000000}"/>
  </bookViews>
  <sheets>
    <sheet name="Original 100 screening" sheetId="1" r:id="rId1"/>
    <sheet name="CSV screening" sheetId="2" r:id="rId2"/>
    <sheet name="Selected stimuli 88" sheetId="3" r:id="rId3"/>
    <sheet name="Balance summary" sheetId="4" r:id="rId4"/>
    <sheet name="Coding notes" sheetId="5" r:id="rId5"/>
    <sheet name="Screenshot screening"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4" l="1"/>
  <c r="D28" i="4"/>
  <c r="C28" i="4"/>
  <c r="B28" i="4"/>
  <c r="F28" i="4" s="1"/>
  <c r="E27" i="4"/>
  <c r="D27" i="4"/>
  <c r="C27" i="4"/>
  <c r="B27" i="4"/>
  <c r="F27" i="4" s="1"/>
  <c r="E26" i="4"/>
  <c r="D26" i="4"/>
  <c r="C26" i="4"/>
  <c r="B26" i="4"/>
  <c r="F26" i="4" s="1"/>
  <c r="E25" i="4"/>
  <c r="D25" i="4"/>
  <c r="C25" i="4"/>
  <c r="B25" i="4"/>
  <c r="F25" i="4" s="1"/>
  <c r="E24" i="4"/>
  <c r="D24" i="4"/>
  <c r="C24" i="4"/>
  <c r="B24" i="4"/>
  <c r="F24" i="4" s="1"/>
  <c r="E23" i="4"/>
  <c r="D23" i="4"/>
  <c r="C23" i="4"/>
  <c r="B23" i="4"/>
  <c r="F23" i="4" s="1"/>
  <c r="E22" i="4"/>
  <c r="D22" i="4"/>
  <c r="C22" i="4"/>
  <c r="F22" i="4" s="1"/>
  <c r="B22" i="4"/>
  <c r="E21" i="4"/>
  <c r="D21" i="4"/>
  <c r="F21" i="4" s="1"/>
  <c r="C21" i="4"/>
  <c r="B21" i="4"/>
  <c r="E20" i="4"/>
  <c r="D20" i="4"/>
  <c r="C20" i="4"/>
  <c r="B20" i="4"/>
  <c r="F20" i="4" s="1"/>
  <c r="F19" i="4"/>
  <c r="E19" i="4"/>
  <c r="D19" i="4"/>
  <c r="C19" i="4"/>
  <c r="B19" i="4"/>
  <c r="E18" i="4"/>
  <c r="D18" i="4"/>
  <c r="C18" i="4"/>
  <c r="B18" i="4"/>
  <c r="F18" i="4" s="1"/>
  <c r="B15" i="4"/>
  <c r="B14" i="4"/>
  <c r="B13" i="4"/>
  <c r="B12" i="4"/>
  <c r="B11" i="4"/>
  <c r="B10" i="4"/>
  <c r="E7" i="4"/>
  <c r="D7" i="4"/>
  <c r="C7" i="4"/>
  <c r="B7" i="4"/>
  <c r="F7" i="4" s="1"/>
  <c r="E6" i="4"/>
  <c r="D6" i="4"/>
  <c r="C6" i="4"/>
  <c r="B6" i="4"/>
  <c r="F6" i="4" s="1"/>
  <c r="F5" i="4"/>
  <c r="E5" i="4"/>
  <c r="D5" i="4"/>
  <c r="C5" i="4"/>
  <c r="B5" i="4"/>
  <c r="E4" i="4"/>
  <c r="D4" i="4"/>
  <c r="C4" i="4"/>
  <c r="B4" i="4"/>
  <c r="F4" i="4" s="1"/>
</calcChain>
</file>

<file path=xl/sharedStrings.xml><?xml version="1.0" encoding="utf-8"?>
<sst xmlns="http://schemas.openxmlformats.org/spreadsheetml/2006/main" count="4115" uniqueCount="1113">
  <si>
    <t>Order</t>
  </si>
  <si>
    <t>Index</t>
  </si>
  <si>
    <t>Topic</t>
  </si>
  <si>
    <t>Argument</t>
  </si>
  <si>
    <t>Words</t>
  </si>
  <si>
    <t>Agreement</t>
  </si>
  <si>
    <t>Emotions</t>
  </si>
  <si>
    <t>New</t>
  </si>
  <si>
    <t>Fixation.Time</t>
  </si>
  <si>
    <t>Will man-made climate change cause human extinction?</t>
  </si>
  <si>
    <t>If tipping points are reached, the collapse of ecosystems can lead to the extinction of the human race</t>
  </si>
  <si>
    <t>Is Eating Meat Wrong?</t>
  </si>
  <si>
    <t>The taste of meat is delicious and brings many people pleasure in a manner that vegetarian food cannot fully imitate</t>
  </si>
  <si>
    <t>Human evolution is slower than the rate of climate change, making it difficult for humans to adapt to climate change</t>
  </si>
  <si>
    <t>Do electronic devices help or hurt children's development?</t>
  </si>
  <si>
    <t>Devices can negatively affect children's social and psychological development</t>
  </si>
  <si>
    <t>Is it ethically wrong to watch pornography?</t>
  </si>
  <si>
    <t>Watching pornography contributes to human rights abuses, including gender inequality</t>
  </si>
  <si>
    <t>Should Sex Work Be Legal?</t>
  </si>
  <si>
    <t>The legalisation of sex work increases its prevalence, resulting in more harm</t>
  </si>
  <si>
    <t>Should religion be involved in politics?</t>
  </si>
  <si>
    <t>The involvement of religion in politics is necessary to ensure laws and policies are ethical</t>
  </si>
  <si>
    <t>Using devices in school can negatively affect children's grades</t>
  </si>
  <si>
    <t>Consuming meat is an important part of many cultures and religions</t>
  </si>
  <si>
    <t>Is modern technology a disadvantage to society?</t>
  </si>
  <si>
    <t>Modern Technology is outpacing our ability to comprehend, write and approve any effective policy that can protect us from technological harm</t>
  </si>
  <si>
    <t>Should all drugs be legalised?</t>
  </si>
  <si>
    <t>If drugs were legalised, the drug trade would be less able to fuel serious crime</t>
  </si>
  <si>
    <t>Should animal testing be banned?</t>
  </si>
  <si>
    <t>There are preferable alternatives to animal testing that are more accurate and humane</t>
  </si>
  <si>
    <t>Is radiation from cell phones and Wi-Fi harmful?</t>
  </si>
  <si>
    <t>The effects of cell phones and Wi-Fi are minimal at best</t>
  </si>
  <si>
    <t>Should lottery be an integral component of democratic political systems?</t>
  </si>
  <si>
    <t>Politicians elected via lottery would be better at their job</t>
  </si>
  <si>
    <t>Are Humans fundamentally different from other animals?</t>
  </si>
  <si>
    <t>Humans are intellectually superior to other beings on Earth</t>
  </si>
  <si>
    <t>Should the sale of genetically modified food be banned?</t>
  </si>
  <si>
    <t>GMOs are more cost effective than unmodified foods, bringing many benefits</t>
  </si>
  <si>
    <t>Should we adapt to climate change rather than avert it?</t>
  </si>
  <si>
    <t>Adapting to climate change would be faster than averting it</t>
  </si>
  <si>
    <t>Evidences and statistics suggest that actions taken by us are enough to deal with major climate change</t>
  </si>
  <si>
    <t>Is Darwinian Evolution Philosophy or Science?</t>
  </si>
  <si>
    <t>Darwin's theory has logical flaws and is therefore hardly in the realm of science</t>
  </si>
  <si>
    <t>Adaptation is a short-term solution, whereas averting climate change is a long-term solution</t>
  </si>
  <si>
    <t>Should the use of plastic be avoided?</t>
  </si>
  <si>
    <t>The less plastic we use, the less plastic pollution there will be</t>
  </si>
  <si>
    <t>Animal testing is an effective method of testing products</t>
  </si>
  <si>
    <t>Should abortion be considered murder?</t>
  </si>
  <si>
    <t>A fetus or embryo is not a person</t>
  </si>
  <si>
    <t>Ending the production of meat will be necessary in order to meet the growing food needs of the world's population</t>
  </si>
  <si>
    <t>A universal ban is not the right approach to addressing any potential problems with genetically modified foods</t>
  </si>
  <si>
    <t>Should nuclear energy replace fossil fuels?</t>
  </si>
  <si>
    <t>There is a concern in nuclear reactor safety and potential disaster to stakeholders</t>
  </si>
  <si>
    <t>Social media is helping human relationships</t>
  </si>
  <si>
    <t>Social media damages our face to face relationships</t>
  </si>
  <si>
    <t>Equating abortion with murder would cause women to use unsafe methods and put their lives at risk</t>
  </si>
  <si>
    <t>Masturbation is natural and beneficial, and porn is a useful masturbation aid</t>
  </si>
  <si>
    <t>Is Science Akin To Religion?</t>
  </si>
  <si>
    <t>There exist many kinds of different religions, some are akin to science, and some are not</t>
  </si>
  <si>
    <t>The less plastic we use, the less plastic we need to produce</t>
  </si>
  <si>
    <t>Relying too heavily on technology makes a society vulnerable</t>
  </si>
  <si>
    <t>Is social media helping or harming human relationships?</t>
  </si>
  <si>
    <t>Social media allows users to connect with more people</t>
  </si>
  <si>
    <t>We are unable to enjoy the present moments in our life due to technology</t>
  </si>
  <si>
    <t>Social media is shown to induce depression in individuals</t>
  </si>
  <si>
    <t>Cell phone radiation increases the permeability of the blood-brain barrier</t>
  </si>
  <si>
    <t>Science and religion are similar in that both have been used to explain the origin of man</t>
  </si>
  <si>
    <t>Giving devices (phone, tablet, computer, etc.) to children is valuable for their development</t>
  </si>
  <si>
    <t>Devices are helpful in furthering children's educations</t>
  </si>
  <si>
    <t>Science and religion both need belief in something that you do not personally understand to function</t>
  </si>
  <si>
    <t>Buying and selling sex should be legal for sex workers and their clients</t>
  </si>
  <si>
    <t>Sex workers provide an important and valuable service that more people could access if it were legalised</t>
  </si>
  <si>
    <t>Genetically modified crops can work towards mitigating world hunger and nutritional deficiencies</t>
  </si>
  <si>
    <t>Drugs should remain banned because they are detrimental to the health of those who use them</t>
  </si>
  <si>
    <t>Plastics are exported and, therefore, less plastic reduces emissions that result from transportation</t>
  </si>
  <si>
    <t>Sex work is immoral and unethical</t>
  </si>
  <si>
    <t>All animals are fundamentally different from each other, and there's nothing unique about humans that separate them from animals</t>
  </si>
  <si>
    <t>Should there be no limit to freedom of speech?</t>
  </si>
  <si>
    <t>Isolated speech has zero capacity to inflict physical harm</t>
  </si>
  <si>
    <t>Social media has made it easier to communicate, improving the quality of communication</t>
  </si>
  <si>
    <t>Animal species have already started to become extinct. Human extinction is likely to follow</t>
  </si>
  <si>
    <t>As long as it is reusable, there is nothing wrong with plastic</t>
  </si>
  <si>
    <t>Boredom sparks creativity but with a smartphone children are never bored and don't learn to be creative</t>
  </si>
  <si>
    <t>One person's freedom ends where another's begins: offensive, threatening speech should be illegal</t>
  </si>
  <si>
    <t>Did a divine being create the universe?</t>
  </si>
  <si>
    <t>Many complex phenomena and interactions in the universe indicate the work of a creator</t>
  </si>
  <si>
    <t>Nuclear energy holds much more potential than fossil fuels in evolving through technological breakthroughs and increased efficiency</t>
  </si>
  <si>
    <t>Cell phone radiation is absorbed more by children's brains than by adult's brains</t>
  </si>
  <si>
    <t>Observations have dwindled for God's creative power as humanity has advanced</t>
  </si>
  <si>
    <t>Nuclear energy should be used to replace fossil fuels</t>
  </si>
  <si>
    <t>Nuclear energy will benefit the global economy</t>
  </si>
  <si>
    <t>Humans have a sense of self-awareness and individual identity</t>
  </si>
  <si>
    <t>Almost all laws are based on moral beliefs, therefore it is appropriate for religious persons to be involved in politics</t>
  </si>
  <si>
    <t>Devices can benefit parents by offering them greater control over their children's development</t>
  </si>
  <si>
    <t>Vegetarian diets directly and indirectly contribute to better health outcomes for all humans</t>
  </si>
  <si>
    <t>Many societies would not be possible without modern technology - especially large urbanized societies</t>
  </si>
  <si>
    <t>Eating meat, in the majority of cases, involves the cruel and immoral treatment of animals</t>
  </si>
  <si>
    <t>Modern technology is a disadvantage to society</t>
  </si>
  <si>
    <t>Technology is essential for the modern economy</t>
  </si>
  <si>
    <t>Censorship leads to narrow mindedness by preventing sincere and open discussion</t>
  </si>
  <si>
    <t>Our society is changing at a pace that must be matched by technological development to prevent disaster</t>
  </si>
  <si>
    <t>The effects of global warming directly threaten the land and environment that humans need to live</t>
  </si>
  <si>
    <t>Being appointed to a position of power by lottery would leave many people overwhelmed and unprepared</t>
  </si>
  <si>
    <t>Science and religion both use personal experience as a means to understand existence</t>
  </si>
  <si>
    <t>If we decide to adapt to climate change, then we will lose the ability to avert it</t>
  </si>
  <si>
    <t>Humanity has a long history of successfully adapting to climate change</t>
  </si>
  <si>
    <t>Technology has forever changed day-to-day life for the better</t>
  </si>
  <si>
    <t>It is impossible to eradicate sex work as a profession. Therefore, it would be better to legalise it</t>
  </si>
  <si>
    <t>With devices, there is no need for printing out or going to places, everything can be done online and efficiently</t>
  </si>
  <si>
    <t>Pro-Life vs Pro-Choice: Should Abortion be Legal?</t>
  </si>
  <si>
    <t>The ability for people to control their own reproduction is fundamental to achieving gender equality</t>
  </si>
  <si>
    <t>Electronic devices help differently abled children read and write like other kids</t>
  </si>
  <si>
    <t>Politics would be more representative under a lottery system</t>
  </si>
  <si>
    <t>The enforcement of the criminalisation of drugs has harmed communities around the world and should be stopped</t>
  </si>
  <si>
    <t>Cloning animals is ethical</t>
  </si>
  <si>
    <t>Animal cloning could repair the large amount of damage done to this planet by humanity</t>
  </si>
  <si>
    <t>Unlimited freedom of speech can be used to spread hateful and/or harmful ideologies</t>
  </si>
  <si>
    <t>Genetically modified food endangers the health of people who consume it</t>
  </si>
  <si>
    <t>Using drugs can be an important and positive experience for individuals and communities</t>
  </si>
  <si>
    <t>Genetically modified foods can be harmful to the environment and ecosystems</t>
  </si>
  <si>
    <t>People have a right to bodily autonomy and should ultimately be able to make choices about what happens to their bodies</t>
  </si>
  <si>
    <t>Involving religion in politics is antithetical to the principles of a secular democratic society</t>
  </si>
  <si>
    <t>Technologically backwards countries have no power on the global stage</t>
  </si>
  <si>
    <t>Technology allows individuals to own or control property at a distance, lessening that individual's direct responsibility for the property</t>
  </si>
  <si>
    <t>Surveying definitions of religion shows a focus on divinity and spirituality, which are not present in Western science at all</t>
  </si>
  <si>
    <t>Cell phones and Wi-Fi emit non-ionising radiation, which is not harmful in small doses</t>
  </si>
  <si>
    <t>Humans have Human Consciousness which is ontologically and fundamentally different than any other form of consciousness</t>
  </si>
  <si>
    <t>Genetics prove humans are fundamentally very similar to other species</t>
  </si>
  <si>
    <t>Should some people feel obliged to change their lifestyle to combat global warming?</t>
  </si>
  <si>
    <t>People in today's society should change their lifestyles because the quality of life of future generations is equally important</t>
  </si>
  <si>
    <t>Politicians and political parties should be responsible for enacting the laws and regulations necessary to make changes at scale</t>
  </si>
  <si>
    <t>Technology decreases general intelligence</t>
  </si>
  <si>
    <t>A carbon tax should be used to subsidize everything that reduces the carbon footprint of consumers</t>
  </si>
  <si>
    <t>A carbon tax would put financial burden on the poorest who are unable to invest in products like an electric car or solar panels</t>
  </si>
  <si>
    <t>It is impossible to stop climate change and its impacts</t>
  </si>
  <si>
    <t>No single example of evolution has ever been documented</t>
  </si>
  <si>
    <t>Eating meat is a key element of human nature, evolution, and physiology/biology and thus its consumption is inherent to humankind</t>
  </si>
  <si>
    <t>Unlike religion, science is based on evidence and experimentation, which is a more reliable methodology for attaining truth</t>
  </si>
  <si>
    <t>Video games have a positive impact on society</t>
  </si>
  <si>
    <t>Video games may promote aggressive and violent behavior</t>
  </si>
  <si>
    <t>Man-made carbon emissions are likely to protect humans from another ice age</t>
  </si>
  <si>
    <t>U.S. political classification</t>
  </si>
  <si>
    <t>Include in selected set</t>
  </si>
  <si>
    <t>Generated paired version</t>
  </si>
  <si>
    <t>Paired target category</t>
  </si>
  <si>
    <t>Source word count</t>
  </si>
  <si>
    <t>Paired word count</t>
  </si>
  <si>
    <t>Absolute word difference</t>
  </si>
  <si>
    <t>Classification rationale</t>
  </si>
  <si>
    <t>Verification source(s)</t>
  </si>
  <si>
    <t>Extreme left</t>
  </si>
  <si>
    <t>Yes</t>
  </si>
  <si>
    <t>Climate change poses serious long-term risks, so the United States should strengthen emissions reductions and climate adaptation policies.</t>
  </si>
  <si>
    <t>Left</t>
  </si>
  <si>
    <t>Catastrophic human-extinction framing is strongly left-aligned in current U.S. partisan climate-risk perceptions; the extinction claim makes the source item extreme.</t>
  </si>
  <si>
    <t>https://yougov.com/en-us/articles/53933/americans-are-more-likely-to-think-climate-change-will-be-harmful-to-the-world-than-to-them-personally
https://www.pewresearch.org/science/2026/05/28/americans-are-increasingly-pessimistic-about-avoiding-the-worst-effects-of-climate-change/
https://www.presidency.ucsb.edu/documents/2024-democratic-party-platform</t>
  </si>
  <si>
    <t>Not clearly left/right</t>
  </si>
  <si>
    <t>No</t>
  </si>
  <si>
    <t>Excluded under the strict screen because the statement is factual, non-policy, bipartisan, libertarian, cross-cutting, or otherwise not a reliable Democratic-versus-Republican signal.</t>
  </si>
  <si>
    <t>Climate change is outrunning human adaptation, so America must immediately eliminate fossil fuels regardless of any economic consequences whatsoever.</t>
  </si>
  <si>
    <t>Emphasizes severe human vulnerability to climate change, consistent with stronger Democratic concern about climate harms and mitigation.</t>
  </si>
  <si>
    <t>https://www.pewresearch.org/science/2026/05/28/americans-are-increasingly-pessimistic-about-avoiding-the-worst-effects-of-climate-change/
https://www.pewresearch.org/science/2024/12/09/how-americans-view-climate-change-and-policies-to-address-the-issue/
https://www.presidency.ucsb.edu/documents/2024-democratic-party-platform</t>
  </si>
  <si>
    <t>Right</t>
  </si>
  <si>
    <t>American laws should follow Christian teachings because secular morality cannot provide a foundation for government.</t>
  </si>
  <si>
    <t>Extreme right</t>
  </si>
  <si>
    <t>Endorses religious morality as necessary for lawmaking; Republicans are considerably more supportive than Democrats of religion having a prominent role in government and law.</t>
  </si>
  <si>
    <t>https://www.pewresearch.org/religion/2026/05/14/how-americans-feel-about-religions-influence-in-government-and-public-life/
https://www.presidency.ucsb.edu/documents/2024-democratic-party-platform
https://www.presidency.ucsb.edu/documents/2024-republican-party-platform</t>
  </si>
  <si>
    <t>America should abandon emission cuts, relying entirely on climate adaptation.</t>
  </si>
  <si>
    <t>Prioritizes adaptation over mitigation, matching the Republican coalition's lower climate-policy urgency and greater emphasis on fossil-fuel production.</t>
  </si>
  <si>
    <t>https://www.pewresearch.org/science/2026/05/28/americans-are-increasingly-pessimistic-about-avoiding-the-worst-effects-of-climate-change/
https://www.pewresearch.org/science/2024/12/09/how-americans-view-climate-change-and-policies-to-address-the-issue/
https://www.pewresearch.org/science/2026/04/03/americans-shifting-views-on-energy-issues/
https://www.presidency.ucsb.edu/documents/2024-republican-party-platform</t>
  </si>
  <si>
    <t>Current measures suffice, so America should repeal climate regulations and make no further effort to cut emissions.</t>
  </si>
  <si>
    <t>Minimizes the need for additional climate action, consistent with Republican opposition to stronger climate regulation.</t>
  </si>
  <si>
    <t>Darwinian evolution contains unresolved problems and should receive more critical scrutiny in American schools.</t>
  </si>
  <si>
    <t>Categorically rejects Darwinian evolution as science; strict creationist beliefs are associated with political conservatism, and the wording is absolute.</t>
  </si>
  <si>
    <t>https://news.gallup.com/poll/647594/majority-credits-god-humankind-not-creationism.aspx</t>
  </si>
  <si>
    <t>America should reject climate adaptation and eliminate fossil fuels, whatever the economic cost.</t>
  </si>
  <si>
    <t>Prioritizes climate mitigation over adaptation, consistent with stronger Democratic support for federal climate action.</t>
  </si>
  <si>
    <t>Abortion should remain legal throughout pregnancy without restrictions.</t>
  </si>
  <si>
    <t>Denies fetal personhood, a pro-choice premise aligned with the Democratic abortion-rights position and the large current partisan gap on abortion.</t>
  </si>
  <si>
    <t>https://www.pewresearch.org/religion/fact-sheet/public-opinion-on-abortion/
https://www.presidency.ucsb.edu/documents/2024-democratic-party-platform
https://www.presidency.ucsb.edu/documents/2024-republican-party-platform</t>
  </si>
  <si>
    <t>All abortion restrictions should be abolished because they force women toward dangerous procedures that threaten their lives.</t>
  </si>
  <si>
    <t>Frames abortion restrictions as threats to women's safety, aligning with Democratic reproductive-freedom arguments.</t>
  </si>
  <si>
    <t>Climate change threatens ecosystems and increases serious long-term risks to human health and survival.</t>
  </si>
  <si>
    <t>Predicts human extinction from climate change; catastrophic outcomes are much more often anticipated by Democrats, and extinction makes the source item extreme.</t>
  </si>
  <si>
    <t>Threatening speech should face legal limits when it creates a risk of harm.</t>
  </si>
  <si>
    <t>Would criminalize offensive as well as threatening speech; banning merely offensive speech is substantially more absolute than mainstream Democratic policy.</t>
  </si>
  <si>
    <t>https://www.pewresearch.org/short-reads/2025/04/14/support-dips-for-us-government-tech-companies-restricting-false-or-violent-online-content/
https://www.presidency.ucsb.edu/documents/2024-republican-party-platform</t>
  </si>
  <si>
    <t>American government should formally prioritize Christian moral values in lawmaking, and secular objections should never limit their legitimate political influence.</t>
  </si>
  <si>
    <t>Endorses religious participation as a basis for politics; Republicans are more supportive than Democrats of prominent religious influence in government.</t>
  </si>
  <si>
    <t>No speech should be restricted, including hateful, false, or extremist speech.</t>
  </si>
  <si>
    <t>Frames censorship as inherently damaging and open expression as paramount, matching the Republican platform's anti-censorship emphasis.</t>
  </si>
  <si>
    <t>Climate change is an existential threat, so America must rapidly eliminate fossil fuels despite economic costs.</t>
  </si>
  <si>
    <t>Emphasizes serious direct climate harms to human life, consistent with stronger Democratic climate concern and support for action.</t>
  </si>
  <si>
    <t>America should spend nothing on climate adaptation and direct all available resources toward immediately eliminating carbon emissions.</t>
  </si>
  <si>
    <t>Treats adaptation as undermining mitigation and prioritizes emissions prevention, consistent with left/Democratic climate-action framing.</t>
  </si>
  <si>
    <t>Humans can adapt to any climate, so emissions policies should end.</t>
  </si>
  <si>
    <t>Emphasizes human adaptive capacity rather than mitigation, consistent with the Republican coalition's lower climate-policy urgency.</t>
  </si>
  <si>
    <t>Gender equality requires abortion to remain legal at every stage, for any reason, without restrictions.</t>
  </si>
  <si>
    <t>Frames reproductive control as necessary for gender equality, aligning with the Democratic abortion-rights position.</t>
  </si>
  <si>
    <t>Bodily autonomy is absolute, so abortion should be legal at every stage of pregnancy, for any reason and without government restrictions.</t>
  </si>
  <si>
    <t>Uses bodily autonomy to support abortion choice, aligning with Democratic abortion-rights framing.</t>
  </si>
  <si>
    <t>Religious beliefs should have no influence on American laws, public policy, or governmental decisions.</t>
  </si>
  <si>
    <t>Explicitly favors secular government and church-state separation, aligning with Democratic positions and current partisan patterns.</t>
  </si>
  <si>
    <t>Everyone should be legally required to make lifestyle sacrifices for climate change, even when their living standards decline substantially.</t>
  </si>
  <si>
    <t>Assigns individuals a duty to change lifestyles for future generations; Democrats are more likely than Republicans to expect major lifestyle changes.</t>
  </si>
  <si>
    <t>Government should impose any laws necessary to eliminate carbon emissions, regardless of economic costs or restrictions on individual freedom.</t>
  </si>
  <si>
    <t>Calls for regulation to achieve large-scale climate action, consistent with Democratic support for a stronger federal climate role.</t>
  </si>
  <si>
    <t>Evolutionary theory has important gaps that schools should discuss.</t>
  </si>
  <si>
    <t>Absolutely denies documented evolution; strict creationist beliefs are associated with political conservatism, and the categorical wording is extreme.</t>
  </si>
  <si>
    <t>Some carbon emissions may modestly reduce the risk of another ice age.</t>
  </si>
  <si>
    <t>Claims carbon emissions are protective rather than harmful, an extreme form of right-aligned climate skepticism beyond mainstream GOP energy policy.</t>
  </si>
  <si>
    <t>URL</t>
  </si>
  <si>
    <t>Claim</t>
  </si>
  <si>
    <t>Pro_Con</t>
  </si>
  <si>
    <t>Screening rationale</t>
  </si>
  <si>
    <t>1</t>
  </si>
  <si>
    <t>https://www.kialo.com/should-sex-work-be-legal-1413</t>
  </si>
  <si>
    <t>The government has no right to outlaw an interaction between consenting adults; it should only prosecute sex workers or their patrons when these conditions are not met</t>
  </si>
  <si>
    <t>pro</t>
  </si>
  <si>
    <t>27</t>
  </si>
  <si>
    <t>Not coded / excluded</t>
  </si>
  <si>
    <t>Excluded because it was not required after all retained original topics were balanced and the feminism and gun-control quotas were added.</t>
  </si>
  <si>
    <t>2</t>
  </si>
  <si>
    <t>17</t>
  </si>
  <si>
    <t>3</t>
  </si>
  <si>
    <t>18</t>
  </si>
  <si>
    <t>4</t>
  </si>
  <si>
    <t>If sex work were legal, there would be less incentive for governments to provide exit strategies for those who want to get out of it</t>
  </si>
  <si>
    <t>con</t>
  </si>
  <si>
    <t>25</t>
  </si>
  <si>
    <t>5</t>
  </si>
  <si>
    <t>6</t>
  </si>
  <si>
    <t>Legalising sex work reinforces discrimination based on skin colour, gender, and class</t>
  </si>
  <si>
    <t>12</t>
  </si>
  <si>
    <t>7</t>
  </si>
  <si>
    <t>https://www.kialo.com/should-nuclear-energy-replace-fossil-fuels-9326</t>
  </si>
  <si>
    <t>8</t>
  </si>
  <si>
    <t>Nuclear energy is cleaner than fossil fuels</t>
  </si>
  <si>
    <t>9</t>
  </si>
  <si>
    <t>10</t>
  </si>
  <si>
    <t>13</t>
  </si>
  <si>
    <t>11</t>
  </si>
  <si>
    <t>Nuclear energy is a nonrenewable source of energy</t>
  </si>
  <si>
    <t>Rogue States and/or separatist forums can convert nuclear civilian energy projects to nuclear projects for war/warlike purpose thus posing a threat to others</t>
  </si>
  <si>
    <t>23</t>
  </si>
  <si>
    <t>Nuclear power plants are vulnerable to attacks</t>
  </si>
  <si>
    <t>14</t>
  </si>
  <si>
    <t>https://www.kialo.com/the-ethics-of-eating-animals-is-eating-meat-wrong-1229</t>
  </si>
  <si>
    <t>Humans should stop eating animal meat</t>
  </si>
  <si>
    <t>15</t>
  </si>
  <si>
    <t>16</t>
  </si>
  <si>
    <t>20</t>
  </si>
  <si>
    <t>Eating animals is harmful to the environment</t>
  </si>
  <si>
    <t>19</t>
  </si>
  <si>
    <t>Ceasing to eat meat would harm the economy</t>
  </si>
  <si>
    <t>21</t>
  </si>
  <si>
    <t>22</t>
  </si>
  <si>
    <t>https://www.kialo.com/no-one-should-feel-obliged-to-change-their-lifestyle-to-combat-global-warming-30084</t>
  </si>
  <si>
    <t>No one should feel obliged to change their lifestyle to combat global warming</t>
  </si>
  <si>
    <t>Changes to individual lifestyles do not make a difference</t>
  </si>
  <si>
    <t>Lifestyle changes are useless, so nobody should make them.</t>
  </si>
  <si>
    <t>Dismisses individual climate action as ineffective, aligning with the Republican-leaning side of the U.S. climate-action divide.</t>
  </si>
  <si>
    <t>24</t>
  </si>
  <si>
    <t>Carbon offsets can mitigate your impact without having to make lifestyle changes</t>
  </si>
  <si>
    <t>Carbon offsets remove any need to change personal lifestyles for climate reasons.</t>
  </si>
  <si>
    <t>Treats offsets as a substitute for lifestyle change, aligning with lower Republican support for major climate-related lifestyle changes.</t>
  </si>
  <si>
    <t>26</t>
  </si>
  <si>
    <t>People living in privileged positions have a moral responsibility to change their lifestyles</t>
  </si>
  <si>
    <t>Combatting global warming is self-preservation</t>
  </si>
  <si>
    <t>28</t>
  </si>
  <si>
    <t>https://www.kialo.com/pro-life-vs-pro-choice-should-abortion-be-legal-5637</t>
  </si>
  <si>
    <t>Pregnant people should have the right to choose abortion</t>
  </si>
  <si>
    <t>29</t>
  </si>
  <si>
    <t>Many people do not become pregnant by choice. It is wrong to force them to remain pregnant when they do not want to be</t>
  </si>
  <si>
    <t>30</t>
  </si>
  <si>
    <t>31</t>
  </si>
  <si>
    <t>If people have the right to choose, they could make biased choices regarding which foetuses to abort</t>
  </si>
  <si>
    <t>32</t>
  </si>
  <si>
    <t>Life begins at conception. Abortion, therefore, violates the foetus' rights to life and bodily autonomy</t>
  </si>
  <si>
    <t>Life begins at conception, so abortion must always be prohibited because it violates fetal rights.</t>
  </si>
  <si>
    <t>Uses conception and fetal-rights premises to oppose abortion, clearly aligning with the Republican/conservative side of the U.S. abortion divide.</t>
  </si>
  <si>
    <t>33</t>
  </si>
  <si>
    <t>Some religious values and beliefs support the view that abortion is immoral</t>
  </si>
  <si>
    <t>Abortion is always immoral because faith establishes human life begins at conception.</t>
  </si>
  <si>
    <t>Uses religious morality to oppose abortion, a recognizable right-aligned position in contemporary U.S. politics.</t>
  </si>
  <si>
    <t>34</t>
  </si>
  <si>
    <t>https://www.kialo.com/should-abortion-be-considered-murder-46872</t>
  </si>
  <si>
    <t>Abortion should legally be considered murder</t>
  </si>
  <si>
    <t>Abortions are self-serving, and killing another person for self-serving purposes is murder</t>
  </si>
  <si>
    <t>Abortion ends developing human life and should therefore face substantial legal restrictions.</t>
  </si>
  <si>
    <t>Categorically treats abortion as selfish murder; the anti-abortion direction is right-aligned and the murder framing makes it extreme.</t>
  </si>
  <si>
    <t>35</t>
  </si>
  <si>
    <t>Religious morality in many religious traditions considers abortion to be murder</t>
  </si>
  <si>
    <t>36</t>
  </si>
  <si>
    <t>If a pregnancy resulted from consensual sex then the woman agreed to the risk of becoming pregnant. When you consent to an action, you are strictly liable for the foreseeable consequences</t>
  </si>
  <si>
    <t>37</t>
  </si>
  <si>
    <t>Since death is the intention, such procedures should be considered murder</t>
  </si>
  <si>
    <t>Abortion intentionally ends fetal life and should generally face legal restrictions.</t>
  </si>
  <si>
    <t>Categorically labels abortion as murder because death is intended, an extreme anti-abortion claim on the U.S. right.</t>
  </si>
  <si>
    <t>38</t>
  </si>
  <si>
    <t>Since the embryo is inside the woman's body, the woman should have jurisdiction of it</t>
  </si>
  <si>
    <t>39</t>
  </si>
  <si>
    <t>A fetus or embryo is not a person; therefore, abortion should not be considered murder</t>
  </si>
  <si>
    <t>40</t>
  </si>
  <si>
    <t>41</t>
  </si>
  <si>
    <t>https://www.kialo.com/is-darwinian-evolution-philosophy-or-science-18393</t>
  </si>
  <si>
    <t>Darwinian evolution is philosophy not science</t>
  </si>
  <si>
    <t>Unobserved events with no experimental backup are only philosophical ideas</t>
  </si>
  <si>
    <t>42</t>
  </si>
  <si>
    <t>43</t>
  </si>
  <si>
    <t>Darwin was inconsistent to selectively doubt his reasoning powers only when they led him to God. If evolution really proves that human reasoning is thoroughly unreliable, then evolutionists ought to doubt every belief at which they arrive through reason, including all scientific knowledge, and even evolution itself</t>
  </si>
  <si>
    <t>47</t>
  </si>
  <si>
    <t>44</t>
  </si>
  <si>
    <t>The search for evidence to support a theory is prone to confirmation bias. If an entire field is biased toward naturalism to an extent that it blinds itself, it will filter evidence, data, and studies selectively, with a more philosophical approach than a scientific one. Biased Studies citing biased studies create compound error, and any objection invites dismissal</t>
  </si>
  <si>
    <t>58</t>
  </si>
  <si>
    <t>45</t>
  </si>
  <si>
    <t>Darwin suggested macro evolution and because no one was ever there to observe macro evolution, it cannot in fact be science. Evolution isn't therefore testable. Refuting the claim that Darwinism is science</t>
  </si>
  <si>
    <t>46</t>
  </si>
  <si>
    <t>It's philosophy when it takes a metaphysical stance, when it claims to prove metaphysical naturalism and indicate the non-existence of God</t>
  </si>
  <si>
    <t>Science as in physics and chemistry is incremental in a way that philosophical ideas are not. If evolution were science, we should expect the original work to constitute findings that lead to further insight. So far, we are stuck with the the original claims</t>
  </si>
  <si>
    <t>48</t>
  </si>
  <si>
    <t>49</t>
  </si>
  <si>
    <t>Evolution is a better explanation of the facts than creation</t>
  </si>
  <si>
    <t>50</t>
  </si>
  <si>
    <t>Numerous examples of evolutionary change have been documented</t>
  </si>
  <si>
    <t>Evolution is indisputable; creationism never belongs in science.</t>
  </si>
  <si>
    <t>Excluded because the entire evolution topic was removed at the researcher's request.</t>
  </si>
  <si>
    <t>51</t>
  </si>
  <si>
    <t>The science of evolution is well-established</t>
  </si>
  <si>
    <t>Evolution is unquestionable; creationism is false.</t>
  </si>
  <si>
    <t>52</t>
  </si>
  <si>
    <t>Darwinian evolution is a scientific theory, very defective (structuralism is preferable over functionalism), but a theory. However, the fact that some people conclude philosophical things about Darwinism does not make Darwinism a philosophy, it is still science</t>
  </si>
  <si>
    <t>53</t>
  </si>
  <si>
    <t>A science makes a testable claim which must be established by observable evidence. Evolution proposes the argument that organisms have adapted over time in order to survive in their chosen/imposed environment. This claim has numerous examples of observational evidence</t>
  </si>
  <si>
    <t>54</t>
  </si>
  <si>
    <t>Philosophy and science are not mutually exclusive</t>
  </si>
  <si>
    <t>55</t>
  </si>
  <si>
    <t>"Darwinian evolution" is neither philosophy nor science, as it means effectively nothing. Neither scientists nor philosophers use it, only detractors of the scientific theory of evolution by natural selection do. There is no clarification in the claim. Natural Selection is a mechanism that has ample scientific evidence supporting it as a means by which evolution occurs in life</t>
  </si>
  <si>
    <t>56</t>
  </si>
  <si>
    <t>https://www.kialo.com/is-cloning-animals-ethical-7948</t>
  </si>
  <si>
    <t>Cloning animals can provide a way for beloved family pets to live on</t>
  </si>
  <si>
    <t>57</t>
  </si>
  <si>
    <t>Animal cloning may reduce global hunger caused by food shortages</t>
  </si>
  <si>
    <t>59</t>
  </si>
  <si>
    <t>Cloning causes animals to suffer</t>
  </si>
  <si>
    <t>60</t>
  </si>
  <si>
    <t>Animals cannot consent to being cloned</t>
  </si>
  <si>
    <t>61</t>
  </si>
  <si>
    <t>It is unethical to clone animals when we have incomplete knowledge of its potential harmful consequences</t>
  </si>
  <si>
    <t>62</t>
  </si>
  <si>
    <t>https://www.kialo.com/do-electronic-devices-help-or-hurt-childrens-development-15819</t>
  </si>
  <si>
    <t>Kids can entertain themselves</t>
  </si>
  <si>
    <t>63</t>
  </si>
  <si>
    <t>64</t>
  </si>
  <si>
    <t>65</t>
  </si>
  <si>
    <t>Devices quench a childs curiosity as they have unlimited acces to a huge bank of information. But certain restrictions should be kept so children don't accidentally stumble upon age restricted content</t>
  </si>
  <si>
    <t>66</t>
  </si>
  <si>
    <t>67</t>
  </si>
  <si>
    <t>68</t>
  </si>
  <si>
    <t>Device usage can impede children's physical development</t>
  </si>
  <si>
    <t>69</t>
  </si>
  <si>
    <t>70</t>
  </si>
  <si>
    <t>71</t>
  </si>
  <si>
    <t>Many kids are drawn to videogames, and other means of instant gratification. By starting little and teaching them that a device should not be treated like a toy, but rather like a vast database of information, one may be able to avoid negative impacts however</t>
  </si>
  <si>
    <t>72</t>
  </si>
  <si>
    <t>73</t>
  </si>
  <si>
    <t>The brain is not trained when children always use smartphones to get an answer for a problem rather than trying to come up with a solution on their own</t>
  </si>
  <si>
    <t>74</t>
  </si>
  <si>
    <t>Giving them devices with no restrictions negates development value by reinforcing the negative side effects of device use (overuse, dependency, information bias.)</t>
  </si>
  <si>
    <t>75</t>
  </si>
  <si>
    <t>Electronic devices can show a negative effect on children. Instead of that give them the Bible or children's magazine to improve the knowledge</t>
  </si>
  <si>
    <t>76</t>
  </si>
  <si>
    <t>Devices can prevent kids from their development. With the internet helping them to easily find a response to any problem they have, this could ecourage them to depend on technology to an extent. There should always be a limit to it</t>
  </si>
  <si>
    <t>77</t>
  </si>
  <si>
    <t>https://www.kialo.com/should-there-be-a-universal-basic-income-ubi-1634</t>
  </si>
  <si>
    <t>Wealthy countries should provide citizens with a universal basic income (UBI)</t>
  </si>
  <si>
    <t>A UBI would reduce crime</t>
  </si>
  <si>
    <t>78</t>
  </si>
  <si>
    <t>A UBI would improve the lives of many people</t>
  </si>
  <si>
    <t>79</t>
  </si>
  <si>
    <t>A UBI is an effective tool for societies to prepare for and embrace future developments and technological progress</t>
  </si>
  <si>
    <t>80</t>
  </si>
  <si>
    <t>A UBI is the most effective and efficient wealth redistribution system</t>
  </si>
  <si>
    <t>81</t>
  </si>
  <si>
    <t>UBIs would have negative effects on national economies</t>
  </si>
  <si>
    <t>82</t>
  </si>
  <si>
    <t>A UBI might erode the personal and societal incentives for financial responsibility, self-improvement, and hard work; at least for some people</t>
  </si>
  <si>
    <t>83</t>
  </si>
  <si>
    <t>Providing a UBI may create harmful political consequences</t>
  </si>
  <si>
    <t>84</t>
  </si>
  <si>
    <t>https://www.kialo.com/modern-technology-is-a-disadvantage-to-society-31689</t>
  </si>
  <si>
    <t>85</t>
  </si>
  <si>
    <t>Technology can have detrimental impacts on people's health</t>
  </si>
  <si>
    <t>86</t>
  </si>
  <si>
    <t>Various technologies have a negative effect on the environment and contribute to climate change</t>
  </si>
  <si>
    <t>87</t>
  </si>
  <si>
    <t>Technology can be misused as a weapon</t>
  </si>
  <si>
    <t>88</t>
  </si>
  <si>
    <t>89</t>
  </si>
  <si>
    <t>90</t>
  </si>
  <si>
    <t>91</t>
  </si>
  <si>
    <t>92</t>
  </si>
  <si>
    <t>93</t>
  </si>
  <si>
    <t>94</t>
  </si>
  <si>
    <t>95</t>
  </si>
  <si>
    <t>96</t>
  </si>
  <si>
    <t>97</t>
  </si>
  <si>
    <t>https://www.kialo.com/did-a-divine-being-create-the-universe-31848</t>
  </si>
  <si>
    <t>A divine being created the universe</t>
  </si>
  <si>
    <t>Since the something that exists now is evidence of some causal precursor, that causal precursor would be the divine creator</t>
  </si>
  <si>
    <t>98</t>
  </si>
  <si>
    <t>Various different religions claim that the universe was created by a divine Creator</t>
  </si>
  <si>
    <t>99</t>
  </si>
  <si>
    <t>100</t>
  </si>
  <si>
    <t>The idea of God as a creator is not required by many philosophical systems</t>
  </si>
  <si>
    <t>101</t>
  </si>
  <si>
    <t>Science offers alternative explanations for the origin of the universe</t>
  </si>
  <si>
    <t>102</t>
  </si>
  <si>
    <t>103</t>
  </si>
  <si>
    <t>What i think is that it is past human comprehension to know what created the universe. as for our material lives something must be created by something else. but past our universe who knows how it works. which means that if something were to create the universe we know of it may not even involve creation</t>
  </si>
  <si>
    <t>104</t>
  </si>
  <si>
    <t>https://www.kialo.com/a-carbon-tax-should-be-implemented-to-subsidize-the-reduction-of-consumers-carbon-footprint-25338</t>
  </si>
  <si>
    <t>This would greatly accelerate the transition off of fossil fuels</t>
  </si>
  <si>
    <t>105</t>
  </si>
  <si>
    <t>A carbon tax that directly funds the transition off of fossil fuels would be a self ending tax, giving citizens the ability to opt out of significant portions of the tax</t>
  </si>
  <si>
    <t>106</t>
  </si>
  <si>
    <t>A carbon tax would greatly increase the value of energy production like solar power and give home owners a means to earn money by selling electricity to the grid</t>
  </si>
  <si>
    <t>107</t>
  </si>
  <si>
    <t>This could enable cheaper and better public transport, thus helping those who rely on it because they cannot afford other means of transportation</t>
  </si>
  <si>
    <t>108</t>
  </si>
  <si>
    <t>This push may spark some technological advancement, if (along the way to achieving eco-friendly tech) other new technologies are accidentally discovered</t>
  </si>
  <si>
    <t>109</t>
  </si>
  <si>
    <t>110</t>
  </si>
  <si>
    <t>Government shouldn't interfere with the free market</t>
  </si>
  <si>
    <t>111</t>
  </si>
  <si>
    <t>Not everyone has the ability to install solar panels on their roof</t>
  </si>
  <si>
    <t>112</t>
  </si>
  <si>
    <t>During the transitional period, consumers may have an incentive to buy from companies which pollute. If a company has more customers and makes more money, it will have to pay more tax which will then go back to the consumer. For example, a coal power plant may gain more customers if those consumers eventually get back the money they spent on power bills</t>
  </si>
  <si>
    <t>113</t>
  </si>
  <si>
    <t>A carbon tax, and a subsidy supporting the transition off fossil fuels, are redundant, so enacting both policies would be wasteful</t>
  </si>
  <si>
    <t>114</t>
  </si>
  <si>
    <t>Subsidising renewable energy makes energy cheaper and thus increases its use</t>
  </si>
  <si>
    <t>115</t>
  </si>
  <si>
    <t>Subsidies should only be given to positive externalities. Subsidising specific goods or services that don't have positive externalities is distortive and the money would be better spent on income reimbursements</t>
  </si>
  <si>
    <t>116</t>
  </si>
  <si>
    <t>https://www.kialo.com/is-it-ethically-wrong-to-watch-pornography-5428</t>
  </si>
  <si>
    <t>It is not ethically wrong to watch pornography</t>
  </si>
  <si>
    <t>Porn gives access to fetishes and habits that would not be accessible otherwise and allows people to explore in a safe way</t>
  </si>
  <si>
    <t>117</t>
  </si>
  <si>
    <t>Porn is made to promote arousal, entertainment and even escapism. As long as the one watching is mature enough to know what happens on screen may differ from reality, there is nothing morally wrong with it</t>
  </si>
  <si>
    <t>118</t>
  </si>
  <si>
    <t>Plenty of porn is made in an ethical and safe way. It is perfectly possible to make choices about what porn you watch so that it is ethical</t>
  </si>
  <si>
    <t>119</t>
  </si>
  <si>
    <t>120</t>
  </si>
  <si>
    <t>Acts of media consumption have a somewhat abstract relationship to ethics. It is difficult, perhaps impossible, to draw a clear connection between the act of seeing and personal culpability or responsibility for that which one sees</t>
  </si>
  <si>
    <t>121</t>
  </si>
  <si>
    <t>Porn isn't intrinsically unethical, but porn that involves human rights violations is unethical and illegal</t>
  </si>
  <si>
    <t>122</t>
  </si>
  <si>
    <t>Porn is damaging to relationships</t>
  </si>
  <si>
    <t>123</t>
  </si>
  <si>
    <t>A utilitarian would argue that time and resources dedicated to porn could be better applied in maximizing well-being</t>
  </si>
  <si>
    <t>124</t>
  </si>
  <si>
    <t>Watching porn can be harmful for the individual</t>
  </si>
  <si>
    <t>125</t>
  </si>
  <si>
    <t>126</t>
  </si>
  <si>
    <t>Jesus Christ taught that lusting after someone is a sin</t>
  </si>
  <si>
    <t>127</t>
  </si>
  <si>
    <t>Our conscience clearly indicates that pornography is wrong</t>
  </si>
  <si>
    <t>128</t>
  </si>
  <si>
    <t>https://www.kialo.com/does-feminism-strive-for-equality-12304</t>
  </si>
  <si>
    <t>Feminism strives for equality</t>
  </si>
  <si>
    <t>Feminism - i.e. the theory of the political, economic, and social equality of the sexes - is by definition about equality, first and foremost</t>
  </si>
  <si>
    <t>129</t>
  </si>
  <si>
    <t>Feminism also improves society for all genders, not just women</t>
  </si>
  <si>
    <t>Feminism must completely dismantle gender hierarchies to liberate everyone equally.</t>
  </si>
  <si>
    <t>Selected as a concise, inclusive pro-feminist claim that clearly matches the Democratic-leaning side of the U.S. feminism divide.</t>
  </si>
  <si>
    <t>https://www.pewresearch.org/short-reads/2020/07/07/61-of-u-s-women-say-feminist-describes-them-well-many-see-feminism-as-empowering-polarizing/
https://www.pewresearch.org/social-trends/2023/09/27/views-of-the-state-of-gender-equality-in-politics/</t>
  </si>
  <si>
    <t>130</t>
  </si>
  <si>
    <t>Feminism is about equalising power relations within society</t>
  </si>
  <si>
    <t>Feminism must dismantle every remaining gender-based power hierarchy.</t>
  </si>
  <si>
    <t>Defines feminism as equalizing social power, consistent with more positive Democratic views of feminism and concern about gender inequality.</t>
  </si>
  <si>
    <t>131</t>
  </si>
  <si>
    <t>Statements of belief of feminists specifically include equality as a foundational principle</t>
  </si>
  <si>
    <t>132</t>
  </si>
  <si>
    <t>Feminism's core values include uplifting both sexes although there is a misconception that it aims to vilify men as patriarchal society gave birth to the movement. According to Bell Hooks, feminism aims to end sexism, exploitation, and oppression of both men and women (Hooks, 2000)</t>
  </si>
  <si>
    <t>133</t>
  </si>
  <si>
    <t>"Feminism" has been used to label a wide variety of ideas, including many mutually contradictory ones. Some of these world views seek equality, but others do not</t>
  </si>
  <si>
    <t>134</t>
  </si>
  <si>
    <t>Feminism strives for absolute equality rather than equitable opportunity, which leads to less practical equality overall</t>
  </si>
  <si>
    <t>Feminism destroys genuine equality by demanding identical outcomes and unfairly punishing men solely for their sex.</t>
  </si>
  <si>
    <t>Criticizes feminism as undermining equitable opportunity, consistent with more negative and polarizing Republican views of feminism.</t>
  </si>
  <si>
    <t>135</t>
  </si>
  <si>
    <t>The fight of modern day feminism often leaves out the transgendered,non-binary, and gender fluid, when they too should be regarded as equals in all endeavors and opportunities</t>
  </si>
  <si>
    <t>136</t>
  </si>
  <si>
    <t>The acid test for whether feminism strives for equality or simply more power to women is the issue of genital cutting. While there are a few feminists who fight for both men and women's right to decide for themselves, they are a tiny minority, so it has no negative impact on feminists who themselves have their own sons cut</t>
  </si>
  <si>
    <t>137</t>
  </si>
  <si>
    <t>Feminism strives for other things beside equality</t>
  </si>
  <si>
    <t>138</t>
  </si>
  <si>
    <t>Some variants of feminism are exclusionist</t>
  </si>
  <si>
    <t>139</t>
  </si>
  <si>
    <t>Feminism strives for more rights, more advantages. Feminism hasn't advocated for male rights when it was the case</t>
  </si>
  <si>
    <t>Modern feminism sometimes prioritizes women's interests and should give greater attention to cases in which men face disadvantages.</t>
  </si>
  <si>
    <t>Selected as the clearest strongly anti-feminist candidate; its categorical claim is more extreme than the paired qualified criticism.</t>
  </si>
  <si>
    <t>140</t>
  </si>
  <si>
    <t>https://www.kialo.com/should-the-sale-of-genetically-modified-food-be-banned-17715</t>
  </si>
  <si>
    <t>The sale of genetically modified food should be banned</t>
  </si>
  <si>
    <t>141</t>
  </si>
  <si>
    <t>142</t>
  </si>
  <si>
    <t>Many people are against genetically modified food. Where they constitute a significant public opposition, this should be reflected accordingly in the law</t>
  </si>
  <si>
    <t>143</t>
  </si>
  <si>
    <t>144</t>
  </si>
  <si>
    <t>145</t>
  </si>
  <si>
    <t>146</t>
  </si>
  <si>
    <t>https://www.kialo.com/is-science-akin-to-religion-32184</t>
  </si>
  <si>
    <t>Science is akin to religion</t>
  </si>
  <si>
    <t>147</t>
  </si>
  <si>
    <t>Religion and science both mispredict</t>
  </si>
  <si>
    <t>148</t>
  </si>
  <si>
    <t>149</t>
  </si>
  <si>
    <t>Both religion and science have dogmas</t>
  </si>
  <si>
    <t>150</t>
  </si>
  <si>
    <t>151</t>
  </si>
  <si>
    <t>Science is being turned into a religion by the people who have the urge to believe things rather than to understand them. Science per se' is based only on verifiable and measurable observations of the nature, but nowadays too many religious people are tainting science with their belief-based view of the world, suppressing the scientific curiosity and fundamentals, which are the defining points of difference</t>
  </si>
  <si>
    <t>152</t>
  </si>
  <si>
    <t>Science is highly dynamic and constantly evolving; religions are usually static and conservatory</t>
  </si>
  <si>
    <t>153</t>
  </si>
  <si>
    <t>154</t>
  </si>
  <si>
    <t>Science and religion serve different functions in society</t>
  </si>
  <si>
    <t>155</t>
  </si>
  <si>
    <t>156</t>
  </si>
  <si>
    <t>Integral Theory by Ken Wilber is an excellent description of the relation between Science and Religion</t>
  </si>
  <si>
    <t>157</t>
  </si>
  <si>
    <t>158</t>
  </si>
  <si>
    <t>Science has a very high success rate in estimating the outcome of its predictions which are proven by technology inventions improving lives. No religion could demonstrate its predictions with that kind of accuracy or success rate</t>
  </si>
  <si>
    <t>159</t>
  </si>
  <si>
    <t>https://www.kialo.com/do-video-games-have-a-positive-effect-on-society-7702</t>
  </si>
  <si>
    <t>Video games add beauty, entertainment, and joy to society</t>
  </si>
  <si>
    <t>160</t>
  </si>
  <si>
    <t>Video games create economic opportunities and support the economy</t>
  </si>
  <si>
    <t>161</t>
  </si>
  <si>
    <t>Video games create unique opportunities for groups of people to work and play together</t>
  </si>
  <si>
    <t>162</t>
  </si>
  <si>
    <t>163</t>
  </si>
  <si>
    <t>Video games are addictive and promote unhealthy habits and lifestyles</t>
  </si>
  <si>
    <t>164</t>
  </si>
  <si>
    <t>Video games detract from learning and education</t>
  </si>
  <si>
    <t>165</t>
  </si>
  <si>
    <t>https://www.kialo.com/the-use-of-plastic-should-be-avoided-9344</t>
  </si>
  <si>
    <t>The use of plastic should be avoided</t>
  </si>
  <si>
    <t>166</t>
  </si>
  <si>
    <t>167</t>
  </si>
  <si>
    <t>168</t>
  </si>
  <si>
    <t>The production of plastic contributes to global warming</t>
  </si>
  <si>
    <t>169</t>
  </si>
  <si>
    <t>This is unrealistic as pretty much everything is made of or contains plastic</t>
  </si>
  <si>
    <t>170</t>
  </si>
  <si>
    <t>One person cannot make a difference</t>
  </si>
  <si>
    <t>171</t>
  </si>
  <si>
    <t>The alternatives to using plastic are too expensive</t>
  </si>
  <si>
    <t>172</t>
  </si>
  <si>
    <t>173</t>
  </si>
  <si>
    <t>Plastic may just be replaced with something less environmentally sound. So it wouldn't make sense to</t>
  </si>
  <si>
    <t>174</t>
  </si>
  <si>
    <t>https://www.kialo.com/will-man-made-climate-change-cause-human-extinction-31221</t>
  </si>
  <si>
    <t>Man-made climate change will cause human extinction</t>
  </si>
  <si>
    <t>175</t>
  </si>
  <si>
    <t>176</t>
  </si>
  <si>
    <t>Climate change cause food security problems</t>
  </si>
  <si>
    <t>177</t>
  </si>
  <si>
    <t>178</t>
  </si>
  <si>
    <t>179</t>
  </si>
  <si>
    <t>While the human species might survive in special shelters, most of human culture (e.g. kindness) might go extinct during the battles for scarce resources and spots in shelters. While this is technically not an extinction, it might be an extinction of what we now know as human qualities</t>
  </si>
  <si>
    <t>180</t>
  </si>
  <si>
    <t>As our realization of what our over use of carbon based energy sources is slowly, very slowly sinking through even the thickest of craniums I feel we may just be on time to avert a total disaster</t>
  </si>
  <si>
    <t>181</t>
  </si>
  <si>
    <t>Climate Change is slow. We can adapt within that timeframe</t>
  </si>
  <si>
    <t>Climate change poses no urgency because humans can always adapt.</t>
  </si>
  <si>
    <t>Minimizes climate urgency and emphasizes adaptation, consistent with the Republican-leaning side of the U.S. climate divide.</t>
  </si>
  <si>
    <t>182</t>
  </si>
  <si>
    <t>183</t>
  </si>
  <si>
    <t>Even if the Earth is hit by massive calamities, some humans will be able to go underground, build special shelters, or find some other way to continue the species in low numbers</t>
  </si>
  <si>
    <t>184</t>
  </si>
  <si>
    <t>Whilst the man made climate change has caused the demise of many animal species the human population continues to explode</t>
  </si>
  <si>
    <t>185</t>
  </si>
  <si>
    <t>Climate change will not cause human extinction. Indeed human will find the solutions in order to survive, human brain is so powerful and so creative so it will not have problem for the most capable</t>
  </si>
  <si>
    <t>186</t>
  </si>
  <si>
    <t>Given that many people already survive in in extreme temperatures, a few more degrees of extreme temperature is unlikely to threaten extinction</t>
  </si>
  <si>
    <t>187</t>
  </si>
  <si>
    <t>188</t>
  </si>
  <si>
    <t>There isn't any scientific evidence to support that claim. We risk the collapse of modern civilisation, which would see a dramatic drop in global population, the lower latitudes would be uninhabitable, but the northern latitudes would still be habitable in certain regions - just like in prehistoric times when the poles had tropical forests</t>
  </si>
  <si>
    <t>189</t>
  </si>
  <si>
    <t>Climate change won't render every environment inhospitable, and places like northern Canada and Russia will become habitable, so complete extinction is impossible</t>
  </si>
  <si>
    <t>Climate change can never threaten human survival, so America should eliminate all emissions limits and expand fossil-fuel production without any environmental restrictions.</t>
  </si>
  <si>
    <t>Excluded to retain only the strongest balanced eight statements for the climate-extinction topic.</t>
  </si>
  <si>
    <t>190</t>
  </si>
  <si>
    <t>https://www.kialo.com/are-humans-fundamentally-different-from-other-animals-9265</t>
  </si>
  <si>
    <t>Humans are fundamentally different from other animals</t>
  </si>
  <si>
    <t>Culture and technology differentiates humans from animals</t>
  </si>
  <si>
    <t>191</t>
  </si>
  <si>
    <t>Although on a biological continuum with other animals, it is humans' unique constellation of features (embodied form, idealizing imagination, cumulative culture and tools, language, advanced cognition, etc) that set them distinctly apart from other animals</t>
  </si>
  <si>
    <t>192</t>
  </si>
  <si>
    <t>Humans are physically and biologically unique</t>
  </si>
  <si>
    <t>193</t>
  </si>
  <si>
    <t>194</t>
  </si>
  <si>
    <t>Humans have ethics, morals, and spiritual beliefs</t>
  </si>
  <si>
    <t>195</t>
  </si>
  <si>
    <t>196</t>
  </si>
  <si>
    <t>197</t>
  </si>
  <si>
    <t>You tell me. Do animals debate topics on a global platform that can reach other humans in less than 0.2 seconds?</t>
  </si>
  <si>
    <t>198</t>
  </si>
  <si>
    <t>199</t>
  </si>
  <si>
    <t>The traits regarded as fundamentally human are actually extensions of non-fundamental traits</t>
  </si>
  <si>
    <t>200</t>
  </si>
  <si>
    <t>Humans do not have enough comprehension about animal communication and reasoning to know for certain whether humans are fundamentally different from animals</t>
  </si>
  <si>
    <t>201</t>
  </si>
  <si>
    <t>202</t>
  </si>
  <si>
    <t>https://www.kialo.com/is-radiation-from-cell-phones-and-wi-fi-harmful-10180</t>
  </si>
  <si>
    <t>Radiation from cell phones and Wi-Fi is harmful</t>
  </si>
  <si>
    <t>Cell phone radiation may cause cancer</t>
  </si>
  <si>
    <t>203</t>
  </si>
  <si>
    <t>Pulsed radiation produced by GSM phones is more harmful than continuous radiation produced by CDMA phones</t>
  </si>
  <si>
    <t>204</t>
  </si>
  <si>
    <t>205</t>
  </si>
  <si>
    <t>206</t>
  </si>
  <si>
    <t>If there were evidence for any serious harm caused, phones and Wi-Fi would not be widely available but restricted by customer protection laws</t>
  </si>
  <si>
    <t>207</t>
  </si>
  <si>
    <t>208</t>
  </si>
  <si>
    <t>209</t>
  </si>
  <si>
    <t>https://www.kialo.com/is-ai-art-theft-60905</t>
  </si>
  <si>
    <t>Text-to-image AI generators (like Midjourney and Dall·E2) are built on models that were mostly trained on images on the Internet. Many people assert that this is theft. Is it so?</t>
  </si>
  <si>
    <t>Artists are not compensated for their contributions</t>
  </si>
  <si>
    <t>210</t>
  </si>
  <si>
    <t>Images have been found that were very similar to AI-generated image. That is evidence that the images were stolen</t>
  </si>
  <si>
    <t>211</t>
  </si>
  <si>
    <t>If an artist’s name, unique title of a work, or other reference were used in a prompt, it is building directly on the artist’s work, and not compensating them</t>
  </si>
  <si>
    <t>212</t>
  </si>
  <si>
    <t>These services are taking work away from artists! It’s opportunity theft</t>
  </si>
  <si>
    <t>213</t>
  </si>
  <si>
    <t>These services in particular are making bank from user subscriptions. Some of that should go to the artists who—willingly or unwillingly—contributed to the model</t>
  </si>
  <si>
    <t>214</t>
  </si>
  <si>
    <t>Aspects of it are, if not theft, then certainly unethical. A machine that learns using uncredited and uncompensated artwork is essentially a tool being built from parts its owner didn't pay for</t>
  </si>
  <si>
    <t>215</t>
  </si>
  <si>
    <t>I think the word "Theft" is a bit leading. It's too narrow. Whether or not something is being literally stolen, the ethical ramifications need to be considered</t>
  </si>
  <si>
    <t>216</t>
  </si>
  <si>
    <t>Many of these datasets use content that was not permitted to be used to train the AI</t>
  </si>
  <si>
    <t>217</t>
  </si>
  <si>
    <t>The outputs of any particular image can be checked for uniqueness, and rejected if too similar. So this is an implementation detail, and not a wholesale rejection of the premise</t>
  </si>
  <si>
    <t>218</t>
  </si>
  <si>
    <t>People are more influenced by the works they see than the AI models are. (The number of images a given human can see is orders of magnitude less than what the model has been trained on.) We don’t charge the students who study and even mimic other works, we should not hold companies to the same standard</t>
  </si>
  <si>
    <t>219</t>
  </si>
  <si>
    <t>Art produced by AI is, thus far, derivative and deconstructed, both of which are protected and neither require any compensation on the part of the owners of the original work; e.g. Andy Warhol doesn’t owe Campbell’s anything just because he painted their soup can</t>
  </si>
  <si>
    <t>220</t>
  </si>
  <si>
    <t>“Theft” does a lot of heavy lifting as it implies not just the duplication of a product, but for the purpose of enjoying said product without having to pay the creator. A pirated movie is a potential lost sale. Training an AI does duplicate the product, but said product is effectively disassembled for parts so the AI can learn; inside the AI system, the work is no longer there, but is part of the amalgam of collected data</t>
  </si>
  <si>
    <t>221</t>
  </si>
  <si>
    <t>Training the AI is not that different from humans training themselves. The work is used as a reference to learn techniques, both broad and precise, to create their own works. Copying Mickey Mouse is infringing on copyright. Drawing a mouse in the Disney house style is still an original - if unimaginative - distinct creation</t>
  </si>
  <si>
    <t>222</t>
  </si>
  <si>
    <t>https://www.kialo.com/should-religion-be-involved-in-politics-54660</t>
  </si>
  <si>
    <t>Religion should be involved in politics</t>
  </si>
  <si>
    <t>223</t>
  </si>
  <si>
    <t>Many countries have deeply religious histories and cultures</t>
  </si>
  <si>
    <t>224</t>
  </si>
  <si>
    <t>225</t>
  </si>
  <si>
    <t>Religion has always been involved in politics, because religion forms our human basis for our moral and ethical framework. For example: It's illegal to murder another human being. This is universally true, and it comes from God. I can cite myriad other examples, in every country on Earth-- even those who specifically have laws that run COUNTER to religious doctrines or ideas. They've done so purposefully</t>
  </si>
  <si>
    <t>226</t>
  </si>
  <si>
    <t>The involvement of religion in politics would prove detrimental to all religions other than the dominant one claiming monopoly over the truth</t>
  </si>
  <si>
    <t>227</t>
  </si>
  <si>
    <t>228</t>
  </si>
  <si>
    <t>Politics and religion should be put aside. Three aspects of life should NOT co-exist: religion-state-army</t>
  </si>
  <si>
    <t>Government should maintain independence from religion and avoid allowing religious doctrine to determine public policy.</t>
  </si>
  <si>
    <t>Demands categorical separation among religion, state, and military; the secular direction is left-aligned and the no-coexistence wording is extreme.</t>
  </si>
  <si>
    <t>229</t>
  </si>
  <si>
    <t>https://www.kialo.com/lottery-should-be-an-integral-component-of-democratic-political-systems-10220</t>
  </si>
  <si>
    <t>Lottery should be an integral component of democratic political systems</t>
  </si>
  <si>
    <t>230</t>
  </si>
  <si>
    <t>Elections would be run better using a lottery system</t>
  </si>
  <si>
    <t>231</t>
  </si>
  <si>
    <t>232</t>
  </si>
  <si>
    <t>This could cause a higher reliance on experts in their respective fields to guide policy decisions, because regular citizens will not have the requisite knowledge to create specific public policies</t>
  </si>
  <si>
    <t>233</t>
  </si>
  <si>
    <t>There would be less corruption as every time the lottery happens, all the corruption would leave</t>
  </si>
  <si>
    <t>234</t>
  </si>
  <si>
    <t>Political parties would cease to exist, which would be harmful to politics</t>
  </si>
  <si>
    <t>235</t>
  </si>
  <si>
    <t>Representatives would not be held accountable for their actions</t>
  </si>
  <si>
    <t>236</t>
  </si>
  <si>
    <t>237</t>
  </si>
  <si>
    <t>The political tides would turn every time a new "lottery" takes place. It would be impossible to issue a multiple-decade plan for a government</t>
  </si>
  <si>
    <t>238</t>
  </si>
  <si>
    <t>https://www.kialo.com/is-social-media-helping-or-harming-human-relationships-5763</t>
  </si>
  <si>
    <t>239</t>
  </si>
  <si>
    <t>Social media enriches human relationships</t>
  </si>
  <si>
    <t>240</t>
  </si>
  <si>
    <t>241</t>
  </si>
  <si>
    <t>242</t>
  </si>
  <si>
    <t>243</t>
  </si>
  <si>
    <t>Social media promotes one-sided views and creates polarization</t>
  </si>
  <si>
    <t>Stimulus ID</t>
  </si>
  <si>
    <t>Pair ID</t>
  </si>
  <si>
    <t>Source dataset</t>
  </si>
  <si>
    <t>Source record</t>
  </si>
  <si>
    <t>Statement</t>
  </si>
  <si>
    <t>Version</t>
  </si>
  <si>
    <t>Target category</t>
  </si>
  <si>
    <t>Word count</t>
  </si>
  <si>
    <t>Pair word difference</t>
  </si>
  <si>
    <t>Data source URL</t>
  </si>
  <si>
    <t>Verification source key(s)</t>
  </si>
  <si>
    <t>CSV-181-S</t>
  </si>
  <si>
    <t>CSV-181</t>
  </si>
  <si>
    <t>data.csv</t>
  </si>
  <si>
    <t>Source statement</t>
  </si>
  <si>
    <t>CLIMATE-2026; CLIMATE-POLICY-2024; ENERGY-2026; RNC-2024</t>
  </si>
  <si>
    <t>CSV-181-A</t>
  </si>
  <si>
    <t>Generated counterpart</t>
  </si>
  <si>
    <t>WB-001-S</t>
  </si>
  <si>
    <t>WB-001</t>
  </si>
  <si>
    <t>Selected arguments.xlsx</t>
  </si>
  <si>
    <t>If climate-change tipping points are reached, collapsing ecosystems could lead to the eventual extinction of the human race.</t>
  </si>
  <si>
    <t>CLIMATE-CATASTROPHE-2026; CLIMATE-2026; DNC-2024</t>
  </si>
  <si>
    <t>WB-001-A</t>
  </si>
  <si>
    <t>WB-018-S</t>
  </si>
  <si>
    <t>WB-018</t>
  </si>
  <si>
    <t>WB-018-A</t>
  </si>
  <si>
    <t>Current climate measures suffice, so America should repeal regulations and make no further effort to cut emissions.</t>
  </si>
  <si>
    <t>WB-066-S</t>
  </si>
  <si>
    <t>WB-066</t>
  </si>
  <si>
    <t>CLIMATE-2026; CLIMATE-POLICY-2024; DNC-2024</t>
  </si>
  <si>
    <t>WB-066-A</t>
  </si>
  <si>
    <t>CSV-023-S</t>
  </si>
  <si>
    <t>CSV-023</t>
  </si>
  <si>
    <t>Should people feel obliged to change their lifestyle to combat global warming?</t>
  </si>
  <si>
    <t>CSV-023-A</t>
  </si>
  <si>
    <t>CSV-024-S</t>
  </si>
  <si>
    <t>CSV-024</t>
  </si>
  <si>
    <t>CSV-024-A</t>
  </si>
  <si>
    <t>WB-091-S</t>
  </si>
  <si>
    <t>WB-091</t>
  </si>
  <si>
    <t>WB-091-A</t>
  </si>
  <si>
    <t>WB-092-S</t>
  </si>
  <si>
    <t>WB-092</t>
  </si>
  <si>
    <t>WB-092-A</t>
  </si>
  <si>
    <t>CSV-228-S</t>
  </si>
  <si>
    <t>CSV-228</t>
  </si>
  <si>
    <t>RELIGION-2026; DNC-2024; RNC-2024</t>
  </si>
  <si>
    <t>CSV-228-A</t>
  </si>
  <si>
    <t>WB-007-S</t>
  </si>
  <si>
    <t>WB-007</t>
  </si>
  <si>
    <t>WB-007-A</t>
  </si>
  <si>
    <t>WB-058-S</t>
  </si>
  <si>
    <t>WB-058</t>
  </si>
  <si>
    <t>WB-058-A</t>
  </si>
  <si>
    <t>WB-084-S</t>
  </si>
  <si>
    <t>WB-084</t>
  </si>
  <si>
    <t>WB-084-A</t>
  </si>
  <si>
    <t>CSV-034-S</t>
  </si>
  <si>
    <t>CSV-034</t>
  </si>
  <si>
    <t>ABORTION-2026; DNC-2024; RNC-2024</t>
  </si>
  <si>
    <t>CSV-034-A</t>
  </si>
  <si>
    <t>CSV-037-S</t>
  </si>
  <si>
    <t>CSV-037</t>
  </si>
  <si>
    <t>Since abortion intentionally causes fetal death, it should be considered murder.</t>
  </si>
  <si>
    <t>CSV-037-A</t>
  </si>
  <si>
    <t>WB-023-S</t>
  </si>
  <si>
    <t>WB-023</t>
  </si>
  <si>
    <t>WB-023-A</t>
  </si>
  <si>
    <t>Abortion should remain legal throughout pregnancy without any government restrictions.</t>
  </si>
  <si>
    <t>WB-028-S</t>
  </si>
  <si>
    <t>WB-028</t>
  </si>
  <si>
    <t>WB-028-A</t>
  </si>
  <si>
    <t>CSV-032-S</t>
  </si>
  <si>
    <t>CSV-032</t>
  </si>
  <si>
    <t>Should abortion be legal?</t>
  </si>
  <si>
    <t>CSV-032-A</t>
  </si>
  <si>
    <t>CSV-033-S</t>
  </si>
  <si>
    <t>CSV-033</t>
  </si>
  <si>
    <t>CSV-033-A</t>
  </si>
  <si>
    <t>WB-074-S</t>
  </si>
  <si>
    <t>WB-074</t>
  </si>
  <si>
    <t>WB-074-A</t>
  </si>
  <si>
    <t>WB-083-S</t>
  </si>
  <si>
    <t>WB-083</t>
  </si>
  <si>
    <t>People have a right to bodily autonomy and should ultimately be able to decide whether to continue or terminate a pregnancy.</t>
  </si>
  <si>
    <t>WB-083-A</t>
  </si>
  <si>
    <t>CSV-129-S</t>
  </si>
  <si>
    <t>CSV-129</t>
  </si>
  <si>
    <t>Does feminism strive for equality?</t>
  </si>
  <si>
    <t>FEMINISM-2020; GENDER-EQUALITY-2023</t>
  </si>
  <si>
    <t>CSV-129-A</t>
  </si>
  <si>
    <t>CSV-130-S</t>
  </si>
  <si>
    <t>CSV-130</t>
  </si>
  <si>
    <t>CSV-130-A</t>
  </si>
  <si>
    <t>CSV-134-S</t>
  </si>
  <si>
    <t>CSV-134</t>
  </si>
  <si>
    <t>CSV-134-A</t>
  </si>
  <si>
    <t>CSV-139-S</t>
  </si>
  <si>
    <t>CSV-139</t>
  </si>
  <si>
    <t>CSV-139-A</t>
  </si>
  <si>
    <t>GEN-001-S</t>
  </si>
  <si>
    <t>GEN-001</t>
  </si>
  <si>
    <t>Kialo gender screenshot</t>
  </si>
  <si>
    <t>Pro 1</t>
  </si>
  <si>
    <t>Is gender a social construct?</t>
  </si>
  <si>
    <t>Gender is a social construct because its features are fluid and change throughout time and across societies.</t>
  </si>
  <si>
    <t>https://www.kialo.com/is-gender-a-social-construct-1570</t>
  </si>
  <si>
    <t>CULTURE-2024; GENDER-DIFF-2024; DNC-2024; RNC-2024</t>
  </si>
  <si>
    <t>GEN-001-A</t>
  </si>
  <si>
    <t>Gender is entirely socially constructed, so institutions must dismantle every binary norm that reinforces traditional gender categories.</t>
  </si>
  <si>
    <t>GEN-002-S</t>
  </si>
  <si>
    <t>GEN-002</t>
  </si>
  <si>
    <t>Pro 2</t>
  </si>
  <si>
    <t>Gender is constructed to uphold hierarchical social structures and would not exist otherwise.</t>
  </si>
  <si>
    <t>GEN-002-A</t>
  </si>
  <si>
    <t>Gender roles often reflect social expectations that sustain inequalities between men and women.</t>
  </si>
  <si>
    <t>GEN-003-S</t>
  </si>
  <si>
    <t>GEN-003</t>
  </si>
  <si>
    <t>Con 1</t>
  </si>
  <si>
    <t>Gender is determined by the biological features associated with one's sex.</t>
  </si>
  <si>
    <t>GEN-003-A</t>
  </si>
  <si>
    <t>Gender equals biological sex, and no social identity can change it.</t>
  </si>
  <si>
    <t>GEN-004-S</t>
  </si>
  <si>
    <t>GEN-004</t>
  </si>
  <si>
    <t>Con 2</t>
  </si>
  <si>
    <t>There are clear sex-based differences in the behaviours of men and women.</t>
  </si>
  <si>
    <t>GEN-004-A</t>
  </si>
  <si>
    <t>Men and women have fixed biological roles that society must always preserve.</t>
  </si>
  <si>
    <t>IMM-001-S</t>
  </si>
  <si>
    <t>IMM-001</t>
  </si>
  <si>
    <t>Kialo immigration screenshot</t>
  </si>
  <si>
    <t>Does mass legal immigration damage America?</t>
  </si>
  <si>
    <t>Mass immigration increases crime.</t>
  </si>
  <si>
    <t>CULTURE-2024; IMMIGRATION-2025; DNC-2024; RNC-2024</t>
  </si>
  <si>
    <t>IMM-001-A</t>
  </si>
  <si>
    <t>Immigration inevitably causes crime.</t>
  </si>
  <si>
    <t>IMM-002-S</t>
  </si>
  <si>
    <t>IMM-002</t>
  </si>
  <si>
    <t>Pro 3</t>
  </si>
  <si>
    <t>Mass immigration will cause America to lose it's identity.</t>
  </si>
  <si>
    <t>IMM-002-A</t>
  </si>
  <si>
    <t>Immigration can weaken cohesion and America's shared national identity.</t>
  </si>
  <si>
    <t>IMM-003-S</t>
  </si>
  <si>
    <t>IMM-003</t>
  </si>
  <si>
    <t>Mass immigration boosts the economy.</t>
  </si>
  <si>
    <t>IMM-003-A</t>
  </si>
  <si>
    <t>Economic prosperity requires unrestricted immigration.</t>
  </si>
  <si>
    <t>IMM-004-S</t>
  </si>
  <si>
    <t>IMM-004</t>
  </si>
  <si>
    <t>Con 3</t>
  </si>
  <si>
    <t>Mass legal immigration promotes diversity and tolerance.</t>
  </si>
  <si>
    <t>IMM-004-A</t>
  </si>
  <si>
    <t>Immigration restrictions destroy diversity and tolerance in America.</t>
  </si>
  <si>
    <t>TRN-001-S</t>
  </si>
  <si>
    <t>TRN-001</t>
  </si>
  <si>
    <t>Kialo transgender screenshot</t>
  </si>
  <si>
    <t>Does transgenderism exist?</t>
  </si>
  <si>
    <t>The fact that humans are biologically either male or female, with the exception of a few outliers, nullifies the concept of transgenderism.</t>
  </si>
  <si>
    <t>https://www.kialo.com/does-transgenderism-exist-18381</t>
  </si>
  <si>
    <t>CULTURE-2024; DNC-2024; RNC-2024</t>
  </si>
  <si>
    <t>TRN-001-A</t>
  </si>
  <si>
    <t>Because biological sex is generally male or female, public policy should preserve sex-based distinctions while allowing adults to identify differently in society.</t>
  </si>
  <si>
    <t>TRN-002-S</t>
  </si>
  <si>
    <t>TRN-002</t>
  </si>
  <si>
    <t>Transgenderism is an artificial product of cultural and linguistic evolution rather than a real concept.</t>
  </si>
  <si>
    <t>TRN-002-A</t>
  </si>
  <si>
    <t>Transgender identity may be shaped by culture, but adults should retain freedom in personal expression.</t>
  </si>
  <si>
    <t>TRN-003-S</t>
  </si>
  <si>
    <t>TRN-003</t>
  </si>
  <si>
    <t>Transgenderism is documented as having been around for hundreds of years.</t>
  </si>
  <si>
    <t>TRN-003-A</t>
  </si>
  <si>
    <t>Historical transgender identities prove society must fully recognize every self-defined gender.</t>
  </si>
  <si>
    <t>TRN-004-S</t>
  </si>
  <si>
    <t>TRN-004</t>
  </si>
  <si>
    <t>Accepting that transgenderism exists is important to protecting those who identify as such.</t>
  </si>
  <si>
    <t>TRN-004-A</t>
  </si>
  <si>
    <t>Society must unconditionally affirm transgender identities to protect everyone who identifies that way.</t>
  </si>
  <si>
    <t>RACE-001-S</t>
  </si>
  <si>
    <t>RACE-001</t>
  </si>
  <si>
    <t>Kialo race screenshot</t>
  </si>
  <si>
    <t>Do all or most White Americans experience privileges exclusive to White people?</t>
  </si>
  <si>
    <t>White Americans enjoy a more positive relationship with the police compared to people of other ethnicities.</t>
  </si>
  <si>
    <t>CULTURE-2024; DISCRIMINATION-2025; DNC-2024; RNC-2024</t>
  </si>
  <si>
    <t>RACE-001-A</t>
  </si>
  <si>
    <t>American policing systematically protects White people while subjecting racial minorities to suspicion, violence, and unequal treatment.</t>
  </si>
  <si>
    <t>RACE-002-S</t>
  </si>
  <si>
    <t>RACE-002</t>
  </si>
  <si>
    <t>Non-whites are systemically excluded from power-holding institutions.</t>
  </si>
  <si>
    <t>RACE-002-A</t>
  </si>
  <si>
    <t>Racial minorities remain underrepresented in powerful American institutions.</t>
  </si>
  <si>
    <t>RACE-003-S</t>
  </si>
  <si>
    <t>RACE-003</t>
  </si>
  <si>
    <t>Privilege is complex; other factors can outweigh the effects of skin color on privilege.</t>
  </si>
  <si>
    <t>RACE-003-A</t>
  </si>
  <si>
    <t>Personal choices determine success; race never creates meaningful privilege or disadvantage in modern America.</t>
  </si>
  <si>
    <t>RACE-004-S</t>
  </si>
  <si>
    <t>RACE-004</t>
  </si>
  <si>
    <t>Con 4</t>
  </si>
  <si>
    <t>In general, any advantages white Americans have are a result of their personal choices, not privilege.</t>
  </si>
  <si>
    <t>RACE-004-A</t>
  </si>
  <si>
    <t>White Americans may have advantages, but these often reflect individual circumstances more than systemic racial privilege.</t>
  </si>
  <si>
    <t>GUN-001-S</t>
  </si>
  <si>
    <t>GUN-001</t>
  </si>
  <si>
    <t>Kialo screenshot</t>
  </si>
  <si>
    <t>Should the U.S. adopt stricter gun control legislation?</t>
  </si>
  <si>
    <t>Stricter gun control legislation may reduce instances of gun-related injury, accidental death, murder, and suicide.</t>
  </si>
  <si>
    <t>https://www.kialo.com/should-the-us-adopt-stricter-gun-control-legislation-3346</t>
  </si>
  <si>
    <t>GUNS-2024; DNC-2024; RNC-2024</t>
  </si>
  <si>
    <t>GUN-001-A</t>
  </si>
  <si>
    <t>America must ban most civilian firearms to eliminate gun injury, accidental death, murder, and suicide.</t>
  </si>
  <si>
    <t>GUN-002-S</t>
  </si>
  <si>
    <t>GUN-002</t>
  </si>
  <si>
    <t>Gun control measures are an effective way to limit the incidence and impact of mass shootings.</t>
  </si>
  <si>
    <t>GUN-002-A</t>
  </si>
  <si>
    <t>America must prohibit civilian ownership of assault weapons and impose gun restrictions to end mass shootings.</t>
  </si>
  <si>
    <t>GUN-003-S</t>
  </si>
  <si>
    <t>GUN-003</t>
  </si>
  <si>
    <t>Gun control policies infringe on a number of rights that the US government was explicitly founded upon and has an obligation to uphold.</t>
  </si>
  <si>
    <t>GUN-003-A</t>
  </si>
  <si>
    <t>Every gun restriction violates the Constitution, so Americans must have unrestricted access to firearms and government must never regulate their ownership or use.</t>
  </si>
  <si>
    <t>GUN-004-S</t>
  </si>
  <si>
    <t>GUN-004</t>
  </si>
  <si>
    <t>Open access to guns is a cultural characteristic of the US and thus should be preserved.</t>
  </si>
  <si>
    <t>GUN-004-A</t>
  </si>
  <si>
    <t>Every American should have unrestricted access to any firearm because gun ownership defines the nation's culture.</t>
  </si>
  <si>
    <t>Final stimulus balance, length, and topic audit</t>
  </si>
  <si>
    <t>Category</t>
  </si>
  <si>
    <t>Count</t>
  </si>
  <si>
    <t>Mean words</t>
  </si>
  <si>
    <t>Minimum</t>
  </si>
  <si>
    <t>Maximum</t>
  </si>
  <si>
    <t>Quota check</t>
  </si>
  <si>
    <t>Audit metric</t>
  </si>
  <si>
    <t>Value</t>
  </si>
  <si>
    <t>Total stimuli</t>
  </si>
  <si>
    <t>Total pairs</t>
  </si>
  <si>
    <t>Original source statements included</t>
  </si>
  <si>
    <t>Largest pair word difference</t>
  </si>
  <si>
    <t>Spread between category means</t>
  </si>
  <si>
    <t>All topics phrased as questions</t>
  </si>
  <si>
    <t>Topic balance</t>
  </si>
  <si>
    <t>U.S. political-orientation coding notes</t>
  </si>
  <si>
    <t>Metric</t>
  </si>
  <si>
    <t>Original statements screened</t>
  </si>
  <si>
    <t>Original statements classified as fitting</t>
  </si>
  <si>
    <t>data.csv source statements included</t>
  </si>
  <si>
    <t>Gun-control screenshot source statements included</t>
  </si>
  <si>
    <t>New attached screenshot source statements included</t>
  </si>
  <si>
    <t>Final source statements</t>
  </si>
  <si>
    <t>Generated counterparts</t>
  </si>
  <si>
    <t>Final stimuli</t>
  </si>
  <si>
    <t>Final distribution</t>
  </si>
  <si>
    <t>22 extreme left; 22 left; 22 right; 22 extreme right</t>
  </si>
  <si>
    <t>Coding rule</t>
  </si>
  <si>
    <t>Operational definition</t>
  </si>
  <si>
    <t>Left / Right</t>
  </si>
  <si>
    <t>The source statement directly reflects a recognizable contemporary U.S. Democratic/liberal or Republican/conservative position, supported by party platforms or partisan survey evidence.</t>
  </si>
  <si>
    <t>Extreme</t>
  </si>
  <si>
    <t>The wording is absolute, maximalist, no-exception, catastrophic, or rejects the opposing consideration entirely.</t>
  </si>
  <si>
    <t>Original coverage</t>
  </si>
  <si>
    <t>The final set retains 12 verbatim originals after the requested removal of adaptation, evolution, speech, and weaker climate-extinction pairs. Excluded statements remain documented in the screening tabs.</t>
  </si>
  <si>
    <t>Every topic contains exactly two extreme-left, two left, two right, and two extreme-right stimuli.</t>
  </si>
  <si>
    <t>Topic wording</t>
  </si>
  <si>
    <t>Every topic is phrased as a question and identical wording is used across all statements assigned to that topic.</t>
  </si>
  <si>
    <t>Pair construction</t>
  </si>
  <si>
    <t>Each source statement remains verbatim. Only its generated counterpart changes extremity while preserving topic and ideological direction.</t>
  </si>
  <si>
    <t>Length matching</t>
  </si>
  <si>
    <t>Each source/counterpart pair differs by no more than one whitespace-delimited word, and category means differ by less than one word.</t>
  </si>
  <si>
    <t>Use note</t>
  </si>
  <si>
    <t>These are researcher codes, not validated norms. Pretest perceived ideology, extremity, clarity, plausibility, and agreement in an independent U.S. sample before fielding.</t>
  </si>
  <si>
    <t>Source ID</t>
  </si>
  <si>
    <t>Source</t>
  </si>
  <si>
    <t>Used for</t>
  </si>
  <si>
    <t>DNC-2024</t>
  </si>
  <si>
    <t>2024 Democratic Party Platform</t>
  </si>
  <si>
    <t>Climate, abortion, religion, guns, feminism, gender, immigration, transgender, and race</t>
  </si>
  <si>
    <t>https://www.presidency.ucsb.edu/documents/2024-democratic-party-platform</t>
  </si>
  <si>
    <t>RNC-2024</t>
  </si>
  <si>
    <t>2024 Republican Party Platform</t>
  </si>
  <si>
    <t>https://www.presidency.ucsb.edu/documents/2024-republican-party-platform</t>
  </si>
  <si>
    <t>CLIMATE-2026</t>
  </si>
  <si>
    <t>Pew Research Center, climate change, 2026</t>
  </si>
  <si>
    <t>Partisan gaps in climate harm, federal action, and lifestyle change</t>
  </si>
  <si>
    <t>https://www.pewresearch.org/science/2026/05/28/americans-are-increasingly-pessimistic-about-avoiding-the-worst-effects-of-climate-change/</t>
  </si>
  <si>
    <t>CLIMATE-POLICY-2024</t>
  </si>
  <si>
    <t>Pew Research Center, climate policies, 2024</t>
  </si>
  <si>
    <t>Partisan gap in assessments of climate-policy economic effects</t>
  </si>
  <si>
    <t>https://www.pewresearch.org/science/2024/12/09/how-americans-view-climate-change-and-policies-to-address-the-issue/</t>
  </si>
  <si>
    <t>ENERGY-2026</t>
  </si>
  <si>
    <t>Pew Research Center, energy issues, 2026</t>
  </si>
  <si>
    <t>Republican emphasis on fossil-fuel development</t>
  </si>
  <si>
    <t>https://www.pewresearch.org/science/2026/04/03/americans-shifting-views-on-energy-issues/</t>
  </si>
  <si>
    <t>CLIMATE-CATASTROPHE-2026</t>
  </si>
  <si>
    <t>YouGov, catastrophic climate outcomes, 2026</t>
  </si>
  <si>
    <t>Partisan gap in catastrophic and extinction expectations</t>
  </si>
  <si>
    <t>https://yougov.com/en-us/articles/53933/americans-are-more-likely-to-think-climate-change-will-be-harmful-to-the-world-than-to-them-personally</t>
  </si>
  <si>
    <t>ABORTION-2026</t>
  </si>
  <si>
    <t>Pew Research Center, abortion, 2026</t>
  </si>
  <si>
    <t>Party-identification gap in support for legal abortion</t>
  </si>
  <si>
    <t>https://www.pewresearch.org/religion/fact-sheet/public-opinion-on-abortion/</t>
  </si>
  <si>
    <t>RELIGION-2026</t>
  </si>
  <si>
    <t>Pew Research Center, religion and government, 2026</t>
  </si>
  <si>
    <t>Partisan divide on religion in government and lawmaking</t>
  </si>
  <si>
    <t>https://www.pewresearch.org/religion/2026/05/14/how-americans-feel-about-religions-influence-in-government-and-public-life/</t>
  </si>
  <si>
    <t>FEMINISM-2020</t>
  </si>
  <si>
    <t>Pew Research Center, views of feminism, 2020</t>
  </si>
  <si>
    <t>Partisan differences in whether feminism is empowering, inclusive, polarizing, or outdated</t>
  </si>
  <si>
    <t>https://www.pewresearch.org/short-reads/2020/07/07/61-of-u-s-women-say-feminist-describes-them-well-many-see-feminism-as-empowering-polarizing/</t>
  </si>
  <si>
    <t>GENDER-EQUALITY-2023</t>
  </si>
  <si>
    <t>Pew Research Center, gender equality in politics, 2023</t>
  </si>
  <si>
    <t>Partisan differences in perceived underrepresentation of women</t>
  </si>
  <si>
    <t>https://www.pewresearch.org/social-trends/2023/09/27/views-of-the-state-of-gender-equality-in-politics/</t>
  </si>
  <si>
    <t>GUNS-2024</t>
  </si>
  <si>
    <t>Pew Research Center, guns, 2024</t>
  </si>
  <si>
    <t>Partisan divide between gun control and gun-rights priorities</t>
  </si>
  <si>
    <t>https://www.pewresearch.org/short-reads/2024/07/24/key-facts-about-americans-and-guns/</t>
  </si>
  <si>
    <t>CULTURE-2024</t>
  </si>
  <si>
    <t>Pew Research Center, cultural issues and the 2024 election</t>
  </si>
  <si>
    <t>Partisan gaps on race, immigration, gender identity, and gender roles</t>
  </si>
  <si>
    <t>https://www.pewresearch.org/politics/2024/06/06/cultural-issues-and-the-2024-election/</t>
  </si>
  <si>
    <t>GENDER-DIFF-2024</t>
  </si>
  <si>
    <t>Pew Research Center, differences between men and women, 2024</t>
  </si>
  <si>
    <t>Partisan gaps in biological versus social explanations</t>
  </si>
  <si>
    <t>https://www.pewresearch.org/social-trends/2024/10/17/how-americans-see-differences-between-men-and-women/</t>
  </si>
  <si>
    <t>IMMIGRATION-2025</t>
  </si>
  <si>
    <t>Pew Research Center, immigration, 2025</t>
  </si>
  <si>
    <t>Partisan divide on immigration priorities and perceived problems</t>
  </si>
  <si>
    <t>https://www.pewresearch.org/short-reads/2025/03/03/where-americans-stand-on-the-economy-immigration-and-other-issues-as-trump-addresses-congress/</t>
  </si>
  <si>
    <t>DISCRIMINATION-2025</t>
  </si>
  <si>
    <t>Pew Research Center, discrimination, 2025</t>
  </si>
  <si>
    <t>Partisan differences in perceived discrimination across racial groups</t>
  </si>
  <si>
    <t>https://www.pewresearch.org/politics/2025/05/20/how-much-discrimination-do-americans-say-groups-face-in-the-u-s/</t>
  </si>
  <si>
    <t>KIALO-GUNS</t>
  </si>
  <si>
    <t>Kialo gun-control discussion and attached screenshot</t>
  </si>
  <si>
    <t>Verbatim gun-control source statements</t>
  </si>
  <si>
    <t>KIALO-GENDER</t>
  </si>
  <si>
    <t>Attached Kialo gender screenshot</t>
  </si>
  <si>
    <t>Verbatim gender source statements</t>
  </si>
  <si>
    <t>KIALO-IMMIGRATION</t>
  </si>
  <si>
    <t>Attached Kialo immigration screenshot</t>
  </si>
  <si>
    <t>Verbatim immigration source statements</t>
  </si>
  <si>
    <t>KIALO-TRANS</t>
  </si>
  <si>
    <t>Attached Kialo transgender screenshot</t>
  </si>
  <si>
    <t>Verbatim transgender source statements</t>
  </si>
  <si>
    <t>KIALO-RACE</t>
  </si>
  <si>
    <t>Attached Kialo race screenshot</t>
  </si>
  <si>
    <t>Verbatim race source statements</t>
  </si>
  <si>
    <t>Candidate ID</t>
  </si>
  <si>
    <t>Topic question</t>
  </si>
  <si>
    <t>Position</t>
  </si>
  <si>
    <t>U.S. classification</t>
  </si>
  <si>
    <t>Source words</t>
  </si>
  <si>
    <t>Paired words</t>
  </si>
  <si>
    <t>Pair difference</t>
  </si>
  <si>
    <t>Selection rationale</t>
  </si>
  <si>
    <t>Screenshot file</t>
  </si>
  <si>
    <t>Kialo URL</t>
  </si>
  <si>
    <t>Selected as the clearest general social-construction claim and paired with an explicitly maximalist institutional implication.</t>
  </si>
  <si>
    <t>Screenshot 2026-08-19 at 11.47.11.png</t>
  </si>
  <si>
    <t>Selected as the strongest structural critique; its categorical nonexistence claim is softened in the paired left version.</t>
  </si>
  <si>
    <t>Selected as the most direct biological-determination claim and paired with a categorical no-exception version.</t>
  </si>
  <si>
    <t>Selected over the religious candidate because it is more direct and broadly recognizable as a U.S. conservative position.</t>
  </si>
  <si>
    <t>GEN-005</t>
  </si>
  <si>
    <t>According to the three largest monotheistic religions' scriptures, God created men and women as different and complementary.</t>
  </si>
  <si>
    <t>Not selected because it relies on religious authority and is less direct than the two biological candidates.</t>
  </si>
  <si>
    <t>Selected as a direct, salient restriction-oriented claim; the paired version makes the causal claim absolute.</t>
  </si>
  <si>
    <t>Screenshot 2026-08-19 at 11.49.06.png</t>
  </si>
  <si>
    <t>Selected as the strongest cultural-threat claim; the paired version replaces certainty with a qualified concern.</t>
  </si>
  <si>
    <t>Selected as the strongest concise economic benefit claim and paired with a necessity-based extreme version.</t>
  </si>
  <si>
    <t>Selected as the clearest value-based pro-immigration claim and paired with a categorical harm framing.</t>
  </si>
  <si>
    <t>IMM-005</t>
  </si>
  <si>
    <t>Mass immigration decreases wages.</t>
  </si>
  <si>
    <t>Not selected because the crime and national-identity claims provide stronger ideological differentiation.</t>
  </si>
  <si>
    <t>IMM-006</t>
  </si>
  <si>
    <t>Mass immigration is normal in human history</t>
  </si>
  <si>
    <t>Not selected because historical normality is less politically diagnostic than the economic and diversity claims.</t>
  </si>
  <si>
    <t>Selected as a concrete, recognizable racial-privilege claim and paired with a categorical systemic-policing version.</t>
  </si>
  <si>
    <t>Screenshot 2026-08-19 at 12.04.48.png</t>
  </si>
  <si>
    <t>Selected as the strongest categorical structural claim and paired with a narrower underrepresentation claim.</t>
  </si>
  <si>
    <t>Selected as the strongest qualified challenge to racial privilege and paired with a categorical denial of racial effects.</t>
  </si>
  <si>
    <t>Selected as the strongest individual-responsibility denial and paired with a qualified individual-circumstances version.</t>
  </si>
  <si>
    <t>RACE-005</t>
  </si>
  <si>
    <t>White Americans are privileged because they do not experience the ramifications of racial trauma that continue to affect Black Americans.</t>
  </si>
  <si>
    <t>Not selected because it is longer and less concise than the chosen policing and institutional-exclusion claims.</t>
  </si>
  <si>
    <t>RACE-006</t>
  </si>
  <si>
    <t>Pro 4</t>
  </si>
  <si>
    <t>Racial stereotypes shape how African Americans, Latinos and other ethnic minorities are viewed. White privilege is the advantage of not being subject to those stereotypes.</t>
  </si>
  <si>
    <t>Not selected because it is substantially longer than the stronger selected candidates.</t>
  </si>
  <si>
    <t>RACE-007</t>
  </si>
  <si>
    <t>White Americans, too, experience disadvantages because of their skin color.</t>
  </si>
  <si>
    <t>Not selected because it is less directly responsive to whether White Americans experience privilege.</t>
  </si>
  <si>
    <t>RACE-008</t>
  </si>
  <si>
    <t>There are no policies or laws that directly favor white Americans over others.</t>
  </si>
  <si>
    <t>Not selected because the complexity and personal-choice claims provide a clearer moderate-versus-extreme pairing.</t>
  </si>
  <si>
    <t>Selected as a categorical rejection of transgender identity and paired with a less-extreme sex-based policy position.</t>
  </si>
  <si>
    <t>Screenshot 2026-08-19 at 11.58.37.png</t>
  </si>
  <si>
    <t>Selected as the second direct denial claim and paired with a qualified cultural explanation that preserves personal liberty.</t>
  </si>
  <si>
    <t>Selected as the clearest historical-existence claim and paired with a maximalist recognition implication.</t>
  </si>
  <si>
    <t>Selected as the clearest protection-based claim and paired with an unconditional affirmation requirement.</t>
  </si>
  <si>
    <t>Because biological sex is male or female, public policy should preserve sex-based distinctions while allowing adults to identify differently in society.</t>
  </si>
  <si>
    <t>WB-017-S</t>
  </si>
  <si>
    <t>WB-017</t>
  </si>
  <si>
    <t>WB-017-A</t>
  </si>
  <si>
    <t>WB-020-S</t>
  </si>
  <si>
    <t>WB-020</t>
  </si>
  <si>
    <t>Adapting to climate change is a short-term solution, whereas averting climate change is a long-term solution</t>
  </si>
  <si>
    <t>WB-020-A</t>
  </si>
  <si>
    <t>America should reject adapting to climate change and eliminate fossil fuels, whatever the economic cost.</t>
  </si>
  <si>
    <t>WB-069-S</t>
  </si>
  <si>
    <t>WB-069</t>
  </si>
  <si>
    <t>WB-069-A</t>
  </si>
  <si>
    <t>WB-070-S</t>
  </si>
  <si>
    <t>WB-070</t>
  </si>
  <si>
    <t>WB-070-A</t>
  </si>
  <si>
    <t>The fact that humans are biologically either male or female nullifies the concept of transgenderism.</t>
  </si>
  <si>
    <t>A fetus or embryo is not a person, which means abortion does not end a person's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</si>
</sst>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10"/>
      <color theme="1"/>
      <name val="Arial"/>
      <family val="2"/>
    </font>
    <font>
      <b/>
      <sz val="10"/>
      <color rgb="FFFFFFFF"/>
      <name val="Arial"/>
      <family val="2"/>
    </font>
    <font>
      <sz val="10"/>
      <color theme="1"/>
      <name val="Arial"/>
      <family val="2"/>
    </font>
    <font>
      <b/>
      <sz val="14"/>
      <color rgb="FFFFFFFF"/>
      <name val="Arial"/>
      <family val="2"/>
    </font>
    <font>
      <b/>
      <sz val="10"/>
      <color rgb="FF000000"/>
      <name val="Arial"/>
      <family val="2"/>
    </font>
    <font>
      <sz val="10"/>
      <color rgb="FF000000"/>
      <name val="Arial"/>
      <family val="2"/>
    </font>
  </fonts>
  <fills count="7">
    <fill>
      <patternFill patternType="none"/>
    </fill>
    <fill>
      <patternFill patternType="gray125"/>
    </fill>
    <fill>
      <patternFill patternType="solid">
        <fgColor rgb="FFD0E0E3"/>
      </patternFill>
    </fill>
    <fill>
      <patternFill patternType="solid">
        <fgColor rgb="FF1F4E78"/>
      </patternFill>
    </fill>
    <fill>
      <patternFill patternType="solid">
        <fgColor rgb="FF5B9BD5"/>
      </patternFill>
    </fill>
    <fill>
      <patternFill patternType="solid">
        <fgColor rgb="FF1F4E78"/>
      </patternFill>
    </fill>
    <fill>
      <patternFill patternType="solid">
        <fgColor rgb="FF5B9BD5"/>
      </patternFill>
    </fill>
  </fills>
  <borders count="4">
    <border>
      <left/>
      <right/>
      <top/>
      <bottom/>
      <diagonal/>
    </border>
    <border>
      <left style="thin">
        <color rgb="FF163A5B"/>
      </left>
      <right/>
      <top style="thin">
        <color rgb="FF163A5B"/>
      </top>
      <bottom style="thin">
        <color rgb="FF163A5B"/>
      </bottom>
      <diagonal/>
    </border>
    <border>
      <left/>
      <right/>
      <top style="thin">
        <color rgb="FF163A5B"/>
      </top>
      <bottom style="thin">
        <color rgb="FF163A5B"/>
      </bottom>
      <diagonal/>
    </border>
    <border>
      <left/>
      <right style="thin">
        <color rgb="FF163A5B"/>
      </right>
      <top style="thin">
        <color rgb="FF163A5B"/>
      </top>
      <bottom style="thin">
        <color rgb="FF163A5B"/>
      </bottom>
      <diagonal/>
    </border>
  </borders>
  <cellStyleXfs count="1">
    <xf numFmtId="0" fontId="0" fillId="0" borderId="0"/>
  </cellStyleXfs>
  <cellXfs count="32">
    <xf numFmtId="0" fontId="0" fillId="0" borderId="0" xfId="0"/>
    <xf numFmtId="0" fontId="1" fillId="2" borderId="0" xfId="0" applyFont="1" applyFill="1"/>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3" fillId="2" borderId="0" xfId="0" applyFont="1" applyFill="1" applyAlignment="1">
      <alignment horizontal="right"/>
    </xf>
    <xf numFmtId="0" fontId="3" fillId="2" borderId="0" xfId="0" applyFont="1" applyFill="1" applyAlignment="1">
      <alignment wrapText="1"/>
    </xf>
    <xf numFmtId="0" fontId="3" fillId="0" borderId="0" xfId="0" applyFont="1" applyAlignment="1">
      <alignment wrapText="1"/>
    </xf>
    <xf numFmtId="0" fontId="0" fillId="0" borderId="0" xfId="0" applyAlignment="1">
      <alignment wrapText="1"/>
    </xf>
    <xf numFmtId="0" fontId="3" fillId="0" borderId="0" xfId="0" applyFont="1" applyAlignment="1">
      <alignment horizontal="center"/>
    </xf>
    <xf numFmtId="0" fontId="3" fillId="2" borderId="0" xfId="0" applyFont="1" applyFill="1" applyAlignment="1">
      <alignment horizontal="center"/>
    </xf>
    <xf numFmtId="0" fontId="3" fillId="0" borderId="0" xfId="0" applyFont="1" applyAlignment="1">
      <alignment horizontal="right"/>
    </xf>
    <xf numFmtId="0" fontId="0" fillId="0" borderId="0" xfId="0" applyAlignment="1">
      <alignment horizontal="right"/>
    </xf>
    <xf numFmtId="0" fontId="0" fillId="0" borderId="0" xfId="0" applyAlignment="1">
      <alignment horizontal="center" wrapText="1"/>
    </xf>
    <xf numFmtId="0" fontId="3" fillId="2" borderId="0" xfId="0" applyFont="1" applyFill="1" applyAlignment="1">
      <alignment horizontal="center" wrapText="1"/>
    </xf>
    <xf numFmtId="0" fontId="0" fillId="0" borderId="0" xfId="0" applyAlignment="1">
      <alignment horizontal="center"/>
    </xf>
    <xf numFmtId="0" fontId="2" fillId="4" borderId="1" xfId="0" applyFont="1" applyFill="1" applyBorder="1" applyAlignment="1">
      <alignment vertical="center" wrapText="1"/>
    </xf>
    <xf numFmtId="0" fontId="2" fillId="4" borderId="2" xfId="0" applyFont="1" applyFill="1" applyBorder="1" applyAlignment="1">
      <alignment vertical="center" wrapText="1"/>
    </xf>
    <xf numFmtId="0" fontId="2" fillId="4" borderId="3" xfId="0" applyFont="1" applyFill="1" applyBorder="1" applyAlignment="1">
      <alignment vertical="center" wrapText="1"/>
    </xf>
    <xf numFmtId="0" fontId="5" fillId="0" borderId="0" xfId="0" applyFont="1" applyAlignment="1">
      <alignment wrapText="1"/>
    </xf>
    <xf numFmtId="2" fontId="0" fillId="0" borderId="0" xfId="0" applyNumberFormat="1" applyAlignment="1">
      <alignment horizontal="center" wrapText="1"/>
    </xf>
    <xf numFmtId="0" fontId="0" fillId="0" borderId="0" xfId="0" applyAlignment="1">
      <alignment vertical="top" wrapText="1"/>
    </xf>
    <xf numFmtId="0" fontId="2" fillId="6" borderId="1" xfId="0" applyFont="1" applyFill="1" applyBorder="1" applyAlignment="1">
      <alignment vertical="center" wrapText="1"/>
    </xf>
    <xf numFmtId="0" fontId="2" fillId="6" borderId="2" xfId="0" applyFont="1" applyFill="1" applyBorder="1" applyAlignment="1">
      <alignment vertical="center" wrapText="1"/>
    </xf>
    <xf numFmtId="0" fontId="2" fillId="6" borderId="3" xfId="0" applyFont="1" applyFill="1" applyBorder="1" applyAlignment="1">
      <alignment vertical="center" wrapText="1"/>
    </xf>
    <xf numFmtId="0" fontId="2" fillId="6" borderId="3" xfId="0" applyFont="1" applyFill="1" applyBorder="1" applyAlignment="1">
      <alignment horizontal="center" vertical="center" wrapText="1"/>
    </xf>
    <xf numFmtId="0" fontId="2" fillId="6" borderId="0" xfId="0" applyFont="1" applyFill="1" applyAlignment="1">
      <alignment wrapText="1"/>
    </xf>
    <xf numFmtId="0" fontId="2" fillId="6" borderId="0" xfId="0" applyFont="1" applyFill="1" applyAlignment="1">
      <alignment horizontal="center" wrapText="1"/>
    </xf>
    <xf numFmtId="0" fontId="2" fillId="4" borderId="0" xfId="0" applyFont="1" applyFill="1" applyAlignment="1">
      <alignment wrapText="1"/>
    </xf>
    <xf numFmtId="0" fontId="4" fillId="5" borderId="0" xfId="0" applyFont="1" applyFill="1" applyAlignment="1">
      <alignment vertical="center" wrapText="1"/>
    </xf>
    <xf numFmtId="0" fontId="4" fillId="5" borderId="0" xfId="0" applyFont="1" applyFill="1" applyAlignment="1">
      <alignment vertical="center"/>
    </xf>
    <xf numFmtId="0" fontId="6" fillId="0" borderId="0" xfId="0" applyFont="1" applyAlignment="1">
      <alignment wrapText="1"/>
    </xf>
  </cellXfs>
  <cellStyles count="1">
    <cellStyle name="Normal" xfId="0" builtinId="0"/>
  </cellStyles>
  <dxfs count="40">
    <dxf>
      <font>
        <color rgb="FF666666"/>
      </font>
      <fill>
        <patternFill>
          <bgColor rgb="FFE7E6E6"/>
        </patternFill>
      </fill>
    </dxf>
    <dxf>
      <font>
        <color rgb="FF666666"/>
      </font>
      <fill>
        <patternFill>
          <bgColor rgb="FFE7E6E6"/>
        </patternFill>
      </fill>
    </dxf>
    <dxf>
      <font>
        <b/>
        <color rgb="FF7F0000"/>
      </font>
      <fill>
        <patternFill>
          <bgColor rgb="FFF4B7B7"/>
        </patternFill>
      </fill>
    </dxf>
    <dxf>
      <font>
        <b/>
        <color rgb="FF9C0006"/>
      </font>
      <fill>
        <patternFill>
          <bgColor rgb="FFFCE1E1"/>
        </patternFill>
      </fill>
    </dxf>
    <dxf>
      <font>
        <b/>
        <color rgb="FF17365D"/>
      </font>
      <fill>
        <patternFill>
          <bgColor rgb="FFB4C7E7"/>
        </patternFill>
      </fill>
    </dxf>
    <dxf>
      <font>
        <b/>
        <color rgb="FF1F4E78"/>
      </font>
      <fill>
        <patternFill>
          <bgColor rgb="FFD9EAF7"/>
        </patternFill>
      </fill>
    </dxf>
    <dxf>
      <font>
        <color rgb="FF595959"/>
      </font>
      <fill>
        <patternFill>
          <bgColor rgb="FFE7E6E6"/>
        </patternFill>
      </fill>
    </dxf>
    <dxf>
      <font>
        <b/>
        <color rgb="FF375623"/>
      </font>
      <fill>
        <patternFill>
          <bgColor rgb="FFE2F0D9"/>
        </patternFill>
      </fill>
    </dxf>
    <dxf>
      <font>
        <color rgb="FF7F0000"/>
      </font>
      <fill>
        <patternFill>
          <bgColor rgb="FFF4B7B7"/>
        </patternFill>
      </fill>
    </dxf>
    <dxf>
      <font>
        <color rgb="FF9C0006"/>
      </font>
      <fill>
        <patternFill>
          <bgColor rgb="FFFCE1E1"/>
        </patternFill>
      </fill>
    </dxf>
    <dxf>
      <font>
        <color rgb="FF17365D"/>
      </font>
      <fill>
        <patternFill>
          <bgColor rgb="FFB4C7E7"/>
        </patternFill>
      </fill>
    </dxf>
    <dxf>
      <font>
        <color rgb="FF1F4E78"/>
      </font>
      <fill>
        <patternFill>
          <bgColor rgb="FFD9EAF7"/>
        </patternFill>
      </fill>
    </dxf>
    <dxf>
      <font>
        <b/>
        <color rgb="FF9C0006"/>
      </font>
      <fill>
        <patternFill>
          <bgColor rgb="FFFCE1E1"/>
        </patternFill>
      </fill>
    </dxf>
    <dxf>
      <font>
        <b/>
        <color rgb="FF375623"/>
      </font>
      <fill>
        <patternFill>
          <bgColor rgb="FFE2F0D9"/>
        </patternFill>
      </fill>
    </dxf>
    <dxf>
      <font>
        <b/>
        <color rgb="FF9C0006"/>
      </font>
      <fill>
        <patternFill>
          <bgColor rgb="FFFCE1E1"/>
        </patternFill>
      </fill>
    </dxf>
    <dxf>
      <font>
        <b/>
        <color rgb="FF375623"/>
      </font>
      <fill>
        <patternFill>
          <bgColor rgb="FFE2F0D9"/>
        </patternFill>
      </fill>
    </dxf>
    <dxf>
      <font>
        <color rgb="FF7F0000"/>
      </font>
      <fill>
        <patternFill>
          <bgColor rgb="FFF4B7B7"/>
        </patternFill>
      </fill>
    </dxf>
    <dxf>
      <font>
        <color rgb="FF9C0006"/>
      </font>
      <fill>
        <patternFill>
          <bgColor rgb="FFFCE1E1"/>
        </patternFill>
      </fill>
    </dxf>
    <dxf>
      <font>
        <color rgb="FF17365D"/>
      </font>
      <fill>
        <patternFill>
          <bgColor rgb="FFB4C7E7"/>
        </patternFill>
      </fill>
    </dxf>
    <dxf>
      <font>
        <color rgb="FF1F4E78"/>
      </font>
      <fill>
        <patternFill>
          <bgColor rgb="FFD9EAF7"/>
        </patternFill>
      </fill>
    </dxf>
    <dxf>
      <font>
        <color rgb="FF666666"/>
      </font>
      <fill>
        <patternFill>
          <bgColor rgb="FFE7E6E6"/>
        </patternFill>
      </fill>
    </dxf>
    <dxf>
      <font>
        <color rgb="FF666666"/>
      </font>
      <fill>
        <patternFill>
          <bgColor rgb="FFE7E6E6"/>
        </patternFill>
      </fill>
    </dxf>
    <dxf>
      <font>
        <b/>
        <color rgb="FF7F0000"/>
      </font>
      <fill>
        <patternFill>
          <bgColor rgb="FFF4B7B7"/>
        </patternFill>
      </fill>
    </dxf>
    <dxf>
      <font>
        <b/>
        <color rgb="FF9C0006"/>
      </font>
      <fill>
        <patternFill>
          <bgColor rgb="FFFCE1E1"/>
        </patternFill>
      </fill>
    </dxf>
    <dxf>
      <font>
        <b/>
        <color rgb="FF17365D"/>
      </font>
      <fill>
        <patternFill>
          <bgColor rgb="FFB4C7E7"/>
        </patternFill>
      </fill>
    </dxf>
    <dxf>
      <font>
        <b/>
        <color rgb="FF1F4E78"/>
      </font>
      <fill>
        <patternFill>
          <bgColor rgb="FFD9EAF7"/>
        </patternFill>
      </fill>
    </dxf>
    <dxf>
      <font>
        <b/>
        <color rgb="FF375623"/>
      </font>
      <fill>
        <patternFill>
          <bgColor rgb="FFE2F0D9"/>
        </patternFill>
      </fill>
    </dxf>
    <dxf>
      <font>
        <color rgb="FF666666"/>
      </font>
      <fill>
        <patternFill>
          <bgColor rgb="FFE7E6E6"/>
        </patternFill>
      </fill>
    </dxf>
    <dxf>
      <font>
        <color rgb="FF666666"/>
      </font>
      <fill>
        <patternFill>
          <bgColor rgb="FFE7E6E6"/>
        </patternFill>
      </fill>
    </dxf>
    <dxf>
      <font>
        <b/>
        <color rgb="FF7F0000"/>
      </font>
      <fill>
        <patternFill>
          <bgColor rgb="FFF4B7B7"/>
        </patternFill>
      </fill>
    </dxf>
    <dxf>
      <font>
        <b/>
        <color rgb="FF9C0006"/>
      </font>
      <fill>
        <patternFill>
          <bgColor rgb="FFFCE1E1"/>
        </patternFill>
      </fill>
    </dxf>
    <dxf>
      <font>
        <b/>
        <color rgb="FF17365D"/>
      </font>
      <fill>
        <patternFill>
          <bgColor rgb="FFB4C7E7"/>
        </patternFill>
      </fill>
    </dxf>
    <dxf>
      <font>
        <b/>
        <color rgb="FF1F4E78"/>
      </font>
      <fill>
        <patternFill>
          <bgColor rgb="FFD9EAF7"/>
        </patternFill>
      </fill>
    </dxf>
    <dxf>
      <font>
        <b/>
        <color rgb="FF375623"/>
      </font>
      <fill>
        <patternFill>
          <bgColor rgb="FFE2F0D9"/>
        </patternFill>
      </fill>
    </dxf>
    <dxf>
      <font>
        <color rgb="FF666666"/>
      </font>
      <fill>
        <patternFill>
          <bgColor rgb="FFE7E6E6"/>
        </patternFill>
      </fill>
    </dxf>
    <dxf>
      <font>
        <color rgb="FF666666"/>
      </font>
      <fill>
        <patternFill>
          <bgColor rgb="FFE7E6E6"/>
        </patternFill>
      </fill>
    </dxf>
    <dxf>
      <font>
        <b/>
        <color rgb="FF7F0000"/>
      </font>
      <fill>
        <patternFill>
          <bgColor rgb="FFF4B7B7"/>
        </patternFill>
      </fill>
    </dxf>
    <dxf>
      <font>
        <b/>
        <color rgb="FF9C0006"/>
      </font>
      <fill>
        <patternFill>
          <bgColor rgb="FFFCE1E1"/>
        </patternFill>
      </fill>
    </dxf>
    <dxf>
      <font>
        <b/>
        <color rgb="FF17365D"/>
      </font>
      <fill>
        <patternFill>
          <bgColor rgb="FFB4C7E7"/>
        </patternFill>
      </fill>
    </dxf>
    <dxf>
      <font>
        <b/>
        <color rgb="FF1F4E78"/>
      </font>
      <fill>
        <patternFill>
          <bgColor rgb="FFD9EA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8:F28" headerRowCount="0">
  <tableColumns count="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39:E39"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41:F41" headerRowCount="0">
  <tableColumns count="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s>
  <tableStyleInfo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45:E45" headerRowCount="0">
  <tableColumns count="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s>
  <tableStyleInfo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57:E57" headerRowCount="0">
  <tableColumns count="4">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s>
  <tableStyleInfo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64:E64" headerRowCount="0">
  <tableColumns count="4">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s>
  <tableStyleInfo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B74:E74" headerRowCount="0">
  <tableColumns count="4">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s>
  <tableStyleInfo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B79:E79" headerRowCount="0">
  <tableColumns count="4">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s>
  <tableStyleInfo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B94:E94" headerRowCount="0">
  <tableColumns count="4">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s>
  <tableStyleInfo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B95:E95" headerRowCount="0">
  <tableColumns count="4">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s>
  <tableStyleInfo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B100:E100" headerRowCount="0">
  <tableColumns count="4">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s>
  <tableStyleInfo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CSVScreeningTable" displayName="CSVScreeningTable" ref="A1:O244" totalsRowShown="0">
  <tableColumns count="15">
    <tableColumn id="1" xr3:uid="{00000000-0010-0000-0B00-000001000000}" name="Index"/>
    <tableColumn id="2" xr3:uid="{00000000-0010-0000-0B00-000002000000}" name="URL"/>
    <tableColumn id="3" xr3:uid="{00000000-0010-0000-0B00-000003000000}" name="Claim"/>
    <tableColumn id="4" xr3:uid="{00000000-0010-0000-0B00-000004000000}" name="Argument"/>
    <tableColumn id="5" xr3:uid="{00000000-0010-0000-0B00-000005000000}" name="Pro_Con"/>
    <tableColumn id="6" xr3:uid="{00000000-0010-0000-0B00-000006000000}" name="Words"/>
    <tableColumn id="7" xr3:uid="{00000000-0010-0000-0B00-000007000000}" name="U.S. political classification"/>
    <tableColumn id="8" xr3:uid="{00000000-0010-0000-0B00-000008000000}" name="Include in 80"/>
    <tableColumn id="9" xr3:uid="{00000000-0010-0000-0B00-000009000000}" name="Generated paired version"/>
    <tableColumn id="10" xr3:uid="{00000000-0010-0000-0B00-00000A000000}" name="Paired target category"/>
    <tableColumn id="11" xr3:uid="{00000000-0010-0000-0B00-00000B000000}" name="Source word count"/>
    <tableColumn id="12" xr3:uid="{00000000-0010-0000-0B00-00000C000000}" name="Paired word count"/>
    <tableColumn id="13" xr3:uid="{00000000-0010-0000-0B00-00000D000000}" name="Absolute word difference"/>
    <tableColumn id="14" xr3:uid="{00000000-0010-0000-0B00-00000E000000}" name="Screening rationale"/>
    <tableColumn id="15" xr3:uid="{00000000-0010-0000-0B00-00000F000000}" name="Verification source(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SelectedStimuliTable" displayName="SelectedStimuliTable" ref="A1:L89" totalsRowShown="0">
  <tableColumns count="12">
    <tableColumn id="1" xr3:uid="{00000000-0010-0000-0C00-000001000000}" name="Stimulus ID"/>
    <tableColumn id="2" xr3:uid="{00000000-0010-0000-0C00-000002000000}" name="Pair ID"/>
    <tableColumn id="3" xr3:uid="{00000000-0010-0000-0C00-000003000000}" name="Source dataset"/>
    <tableColumn id="4" xr3:uid="{00000000-0010-0000-0C00-000004000000}" name="Source record"/>
    <tableColumn id="5" xr3:uid="{00000000-0010-0000-0C00-000005000000}" name="Topic"/>
    <tableColumn id="6" xr3:uid="{00000000-0010-0000-0C00-000006000000}" name="Statement"/>
    <tableColumn id="7" xr3:uid="{00000000-0010-0000-0C00-000007000000}" name="Version"/>
    <tableColumn id="8" xr3:uid="{00000000-0010-0000-0C00-000008000000}" name="Target category"/>
    <tableColumn id="9" xr3:uid="{00000000-0010-0000-0C00-000009000000}" name="Word count"/>
    <tableColumn id="10" xr3:uid="{00000000-0010-0000-0C00-00000A000000}" name="Pair word difference"/>
    <tableColumn id="11" xr3:uid="{00000000-0010-0000-0C00-00000B000000}" name="Data source URL"/>
    <tableColumn id="12" xr3:uid="{00000000-0010-0000-0C00-00000C000000}" name="Verification source key(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creenshotScreeningTable" displayName="ScreenshotScreeningTable" ref="A1:O24" totalsRowShown="0">
  <tableColumns count="15">
    <tableColumn id="1" xr3:uid="{00000000-0010-0000-0D00-000001000000}" name="Candidate ID"/>
    <tableColumn id="2" xr3:uid="{00000000-0010-0000-0D00-000002000000}" name="Topic question"/>
    <tableColumn id="3" xr3:uid="{00000000-0010-0000-0D00-000003000000}" name="Position"/>
    <tableColumn id="4" xr3:uid="{00000000-0010-0000-0D00-000004000000}" name="Statement"/>
    <tableColumn id="5" xr3:uid="{00000000-0010-0000-0D00-000005000000}" name="U.S. classification"/>
    <tableColumn id="6" xr3:uid="{00000000-0010-0000-0D00-000006000000}" name="Include in selected set"/>
    <tableColumn id="7" xr3:uid="{00000000-0010-0000-0D00-000007000000}" name="Generated paired version"/>
    <tableColumn id="8" xr3:uid="{00000000-0010-0000-0D00-000008000000}" name="Paired target category"/>
    <tableColumn id="9" xr3:uid="{00000000-0010-0000-0D00-000009000000}" name="Source words"/>
    <tableColumn id="10" xr3:uid="{00000000-0010-0000-0D00-00000A000000}" name="Paired words"/>
    <tableColumn id="11" xr3:uid="{00000000-0010-0000-0D00-00000B000000}" name="Pair difference"/>
    <tableColumn id="12" xr3:uid="{00000000-0010-0000-0D00-00000C000000}" name="Selection rationale"/>
    <tableColumn id="13" xr3:uid="{00000000-0010-0000-0D00-00000D000000}" name="Verification source key(s)"/>
    <tableColumn id="14" xr3:uid="{00000000-0010-0000-0D00-00000E000000}" name="Screenshot file"/>
    <tableColumn id="15" xr3:uid="{00000000-0010-0000-0D00-00000F000000}" name="Kialo URL"/>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
  <sheetViews>
    <sheetView workbookViewId="0"/>
  </sheetViews>
  <sheetFormatPr baseColWidth="10" defaultColWidth="12.6640625" defaultRowHeight="13" x14ac:dyDescent="0.15"/>
  <cols>
    <col min="1" max="1" width="8" customWidth="1"/>
    <col min="2" max="2" width="9" customWidth="1"/>
    <col min="3" max="3" width="38" customWidth="1"/>
    <col min="4" max="4" width="68" customWidth="1"/>
    <col min="5" max="5" width="9" customWidth="1"/>
    <col min="6" max="7" width="12" customWidth="1"/>
    <col min="8" max="8" width="8" customWidth="1"/>
    <col min="9" max="9" width="15" customWidth="1"/>
    <col min="10" max="10" width="23" customWidth="1"/>
    <col min="11" max="11" width="14" customWidth="1"/>
    <col min="12" max="12" width="72" customWidth="1"/>
    <col min="13" max="13" width="22" customWidth="1"/>
    <col min="14" max="16" width="14" customWidth="1"/>
    <col min="17" max="17" width="68" customWidth="1"/>
    <col min="18" max="18" width="70" customWidth="1"/>
  </cols>
  <sheetData>
    <row r="1" spans="1:18" ht="50.75" customHeight="1" x14ac:dyDescent="0.15">
      <c r="A1" s="2" t="s">
        <v>0</v>
      </c>
      <c r="B1" s="3" t="s">
        <v>1</v>
      </c>
      <c r="C1" s="3" t="s">
        <v>2</v>
      </c>
      <c r="D1" s="3" t="s">
        <v>3</v>
      </c>
      <c r="E1" s="3" t="s">
        <v>4</v>
      </c>
      <c r="F1" s="3" t="s">
        <v>5</v>
      </c>
      <c r="G1" s="3" t="s">
        <v>6</v>
      </c>
      <c r="H1" s="3" t="s">
        <v>7</v>
      </c>
      <c r="I1" s="3" t="s">
        <v>8</v>
      </c>
      <c r="J1" s="3" t="s">
        <v>141</v>
      </c>
      <c r="K1" s="3" t="s">
        <v>142</v>
      </c>
      <c r="L1" s="3" t="s">
        <v>143</v>
      </c>
      <c r="M1" s="3" t="s">
        <v>144</v>
      </c>
      <c r="N1" s="3" t="s">
        <v>145</v>
      </c>
      <c r="O1" s="3" t="s">
        <v>146</v>
      </c>
      <c r="P1" s="3" t="s">
        <v>147</v>
      </c>
      <c r="Q1" s="3" t="s">
        <v>148</v>
      </c>
      <c r="R1" s="4" t="s">
        <v>149</v>
      </c>
    </row>
    <row r="2" spans="1:18" ht="70" x14ac:dyDescent="0.15">
      <c r="A2" s="9">
        <v>1</v>
      </c>
      <c r="B2" s="9">
        <v>232</v>
      </c>
      <c r="C2" s="7" t="s">
        <v>9</v>
      </c>
      <c r="D2" s="7" t="s">
        <v>10</v>
      </c>
      <c r="E2" s="11">
        <v>18</v>
      </c>
      <c r="F2" s="11">
        <v>73.253010000000003</v>
      </c>
      <c r="G2" s="11">
        <v>26.144580000000001</v>
      </c>
      <c r="H2" s="11">
        <v>0</v>
      </c>
      <c r="I2" s="11">
        <v>15111.095800000099</v>
      </c>
      <c r="J2" s="13" t="s">
        <v>150</v>
      </c>
      <c r="K2" s="13" t="s">
        <v>151</v>
      </c>
      <c r="L2" s="13" t="s">
        <v>152</v>
      </c>
      <c r="M2" s="13" t="s">
        <v>153</v>
      </c>
      <c r="N2" s="13">
        <v>18</v>
      </c>
      <c r="O2" s="13">
        <v>18</v>
      </c>
      <c r="P2" s="13">
        <v>0</v>
      </c>
      <c r="Q2" s="13" t="s">
        <v>154</v>
      </c>
      <c r="R2" s="8" t="s">
        <v>155</v>
      </c>
    </row>
    <row r="3" spans="1:18" ht="42" x14ac:dyDescent="0.15">
      <c r="A3" s="9">
        <v>2</v>
      </c>
      <c r="B3" s="9">
        <v>216</v>
      </c>
      <c r="C3" s="7" t="s">
        <v>11</v>
      </c>
      <c r="D3" s="7" t="s">
        <v>12</v>
      </c>
      <c r="E3" s="11">
        <v>20</v>
      </c>
      <c r="F3" s="11">
        <v>81.084339999999997</v>
      </c>
      <c r="G3" s="11">
        <v>72.409639999999996</v>
      </c>
      <c r="H3" s="11">
        <v>0</v>
      </c>
      <c r="I3" s="11">
        <v>12903.756799999999</v>
      </c>
      <c r="J3" s="13" t="s">
        <v>156</v>
      </c>
      <c r="K3" s="13" t="s">
        <v>157</v>
      </c>
      <c r="L3" s="13"/>
      <c r="M3" s="13"/>
      <c r="N3" s="13">
        <v>20</v>
      </c>
      <c r="O3" s="13"/>
      <c r="P3" s="13"/>
      <c r="Q3" s="13" t="s">
        <v>158</v>
      </c>
      <c r="R3" s="8"/>
    </row>
    <row r="4" spans="1:18" ht="70" x14ac:dyDescent="0.15">
      <c r="A4" s="9">
        <v>3</v>
      </c>
      <c r="B4" s="9">
        <v>233</v>
      </c>
      <c r="C4" s="7" t="s">
        <v>9</v>
      </c>
      <c r="D4" s="7" t="s">
        <v>13</v>
      </c>
      <c r="E4" s="11">
        <v>20</v>
      </c>
      <c r="F4" s="11">
        <v>74.698800000000006</v>
      </c>
      <c r="G4" s="11">
        <v>38.915660000000003</v>
      </c>
      <c r="H4" s="11">
        <v>0</v>
      </c>
      <c r="I4" s="11">
        <v>13227.619199999999</v>
      </c>
      <c r="J4" s="13" t="s">
        <v>153</v>
      </c>
      <c r="K4" s="13" t="s">
        <v>157</v>
      </c>
      <c r="L4" s="13" t="s">
        <v>159</v>
      </c>
      <c r="M4" s="13" t="s">
        <v>150</v>
      </c>
      <c r="N4" s="13">
        <v>20</v>
      </c>
      <c r="O4" s="13">
        <v>19</v>
      </c>
      <c r="P4" s="13">
        <v>1</v>
      </c>
      <c r="Q4" s="13" t="s">
        <v>160</v>
      </c>
      <c r="R4" s="8" t="s">
        <v>161</v>
      </c>
    </row>
    <row r="5" spans="1:18" ht="42" x14ac:dyDescent="0.15">
      <c r="A5" s="9">
        <v>4</v>
      </c>
      <c r="B5" s="9">
        <v>60</v>
      </c>
      <c r="C5" s="7" t="s">
        <v>14</v>
      </c>
      <c r="D5" s="7" t="s">
        <v>15</v>
      </c>
      <c r="E5" s="11">
        <v>9</v>
      </c>
      <c r="F5" s="11">
        <v>74.457830000000001</v>
      </c>
      <c r="G5" s="11">
        <v>28.31325</v>
      </c>
      <c r="H5" s="11">
        <v>0</v>
      </c>
      <c r="I5" s="11">
        <v>12560.5368000001</v>
      </c>
      <c r="J5" s="13" t="s">
        <v>156</v>
      </c>
      <c r="K5" s="13" t="s">
        <v>157</v>
      </c>
      <c r="L5" s="13"/>
      <c r="M5" s="13"/>
      <c r="N5" s="13">
        <v>9</v>
      </c>
      <c r="O5" s="13"/>
      <c r="P5" s="13"/>
      <c r="Q5" s="13" t="s">
        <v>158</v>
      </c>
      <c r="R5" s="8"/>
    </row>
    <row r="6" spans="1:18" ht="42" x14ac:dyDescent="0.15">
      <c r="A6" s="9">
        <v>5</v>
      </c>
      <c r="B6" s="9">
        <v>107</v>
      </c>
      <c r="C6" s="7" t="s">
        <v>16</v>
      </c>
      <c r="D6" s="7" t="s">
        <v>17</v>
      </c>
      <c r="E6" s="11">
        <v>10</v>
      </c>
      <c r="F6" s="11">
        <v>35.180720000000001</v>
      </c>
      <c r="G6" s="11">
        <v>33.253010000000003</v>
      </c>
      <c r="H6" s="11">
        <v>0</v>
      </c>
      <c r="I6" s="11">
        <v>6321.6056000000499</v>
      </c>
      <c r="J6" s="13" t="s">
        <v>156</v>
      </c>
      <c r="K6" s="13" t="s">
        <v>157</v>
      </c>
      <c r="L6" s="13"/>
      <c r="M6" s="13"/>
      <c r="N6" s="13">
        <v>10</v>
      </c>
      <c r="O6" s="13"/>
      <c r="P6" s="13"/>
      <c r="Q6" s="13" t="s">
        <v>158</v>
      </c>
      <c r="R6" s="8"/>
    </row>
    <row r="7" spans="1:18" ht="42" x14ac:dyDescent="0.15">
      <c r="A7" s="9">
        <v>6</v>
      </c>
      <c r="B7" s="9">
        <v>198</v>
      </c>
      <c r="C7" s="7" t="s">
        <v>18</v>
      </c>
      <c r="D7" s="7" t="s">
        <v>19</v>
      </c>
      <c r="E7" s="11">
        <v>12</v>
      </c>
      <c r="F7" s="11">
        <v>50</v>
      </c>
      <c r="G7" s="11">
        <v>50</v>
      </c>
      <c r="H7" s="11">
        <v>0</v>
      </c>
      <c r="I7" s="11">
        <v>7306.7776000000304</v>
      </c>
      <c r="J7" s="13" t="s">
        <v>156</v>
      </c>
      <c r="K7" s="13" t="s">
        <v>157</v>
      </c>
      <c r="L7" s="13"/>
      <c r="M7" s="13"/>
      <c r="N7" s="13">
        <v>12</v>
      </c>
      <c r="O7" s="13"/>
      <c r="P7" s="13"/>
      <c r="Q7" s="13" t="s">
        <v>158</v>
      </c>
      <c r="R7" s="8"/>
    </row>
    <row r="8" spans="1:18" ht="56" x14ac:dyDescent="0.15">
      <c r="A8" s="9">
        <v>7</v>
      </c>
      <c r="B8" s="9">
        <v>188</v>
      </c>
      <c r="C8" s="7" t="s">
        <v>20</v>
      </c>
      <c r="D8" s="7" t="s">
        <v>21</v>
      </c>
      <c r="E8" s="11">
        <v>15</v>
      </c>
      <c r="F8" s="11">
        <v>24.337350000000001</v>
      </c>
      <c r="G8" s="11">
        <v>24.698799999999999</v>
      </c>
      <c r="H8" s="11">
        <v>0</v>
      </c>
      <c r="I8" s="11">
        <v>13027.632800000199</v>
      </c>
      <c r="J8" s="13" t="s">
        <v>162</v>
      </c>
      <c r="K8" s="13" t="s">
        <v>151</v>
      </c>
      <c r="L8" s="13" t="s">
        <v>163</v>
      </c>
      <c r="M8" s="13" t="s">
        <v>164</v>
      </c>
      <c r="N8" s="13">
        <v>15</v>
      </c>
      <c r="O8" s="13">
        <v>15</v>
      </c>
      <c r="P8" s="13">
        <v>0</v>
      </c>
      <c r="Q8" s="13" t="s">
        <v>165</v>
      </c>
      <c r="R8" s="8" t="s">
        <v>166</v>
      </c>
    </row>
    <row r="9" spans="1:18" ht="42" x14ac:dyDescent="0.15">
      <c r="A9" s="9">
        <v>8</v>
      </c>
      <c r="B9" s="9">
        <v>59</v>
      </c>
      <c r="C9" s="7" t="s">
        <v>14</v>
      </c>
      <c r="D9" s="7" t="s">
        <v>22</v>
      </c>
      <c r="E9" s="11">
        <v>9</v>
      </c>
      <c r="F9" s="11">
        <v>72.409639999999996</v>
      </c>
      <c r="G9" s="11">
        <v>35.301200000000001</v>
      </c>
      <c r="H9" s="11">
        <v>0</v>
      </c>
      <c r="I9" s="11">
        <v>7134.3955000001597</v>
      </c>
      <c r="J9" s="13" t="s">
        <v>156</v>
      </c>
      <c r="K9" s="13" t="s">
        <v>157</v>
      </c>
      <c r="L9" s="13"/>
      <c r="M9" s="13"/>
      <c r="N9" s="13">
        <v>9</v>
      </c>
      <c r="O9" s="13"/>
      <c r="P9" s="13"/>
      <c r="Q9" s="13" t="s">
        <v>158</v>
      </c>
      <c r="R9" s="8"/>
    </row>
    <row r="10" spans="1:18" ht="42" x14ac:dyDescent="0.15">
      <c r="A10" s="9">
        <v>9</v>
      </c>
      <c r="B10" s="9">
        <v>217</v>
      </c>
      <c r="C10" s="7" t="s">
        <v>11</v>
      </c>
      <c r="D10" s="7" t="s">
        <v>23</v>
      </c>
      <c r="E10" s="11">
        <v>11</v>
      </c>
      <c r="F10" s="11">
        <v>78.554220000000001</v>
      </c>
      <c r="G10" s="11">
        <v>76.987949999999998</v>
      </c>
      <c r="H10" s="11">
        <v>0</v>
      </c>
      <c r="I10" s="11">
        <v>4590.8324999998704</v>
      </c>
      <c r="J10" s="13" t="s">
        <v>156</v>
      </c>
      <c r="K10" s="13" t="s">
        <v>157</v>
      </c>
      <c r="L10" s="13"/>
      <c r="M10" s="13"/>
      <c r="N10" s="13">
        <v>11</v>
      </c>
      <c r="O10" s="13"/>
      <c r="P10" s="13"/>
      <c r="Q10" s="13" t="s">
        <v>158</v>
      </c>
      <c r="R10" s="8"/>
    </row>
    <row r="11" spans="1:18" ht="42" x14ac:dyDescent="0.15">
      <c r="A11" s="9">
        <v>10</v>
      </c>
      <c r="B11" s="9">
        <v>152</v>
      </c>
      <c r="C11" s="7" t="s">
        <v>24</v>
      </c>
      <c r="D11" s="7" t="s">
        <v>25</v>
      </c>
      <c r="E11" s="11">
        <v>21</v>
      </c>
      <c r="F11" s="11">
        <v>74.337350000000001</v>
      </c>
      <c r="G11" s="11">
        <v>24.09639</v>
      </c>
      <c r="H11" s="11">
        <v>0</v>
      </c>
      <c r="I11" s="11">
        <v>13181.4368000001</v>
      </c>
      <c r="J11" s="13" t="s">
        <v>156</v>
      </c>
      <c r="K11" s="13" t="s">
        <v>157</v>
      </c>
      <c r="L11" s="13"/>
      <c r="M11" s="13"/>
      <c r="N11" s="13">
        <v>21</v>
      </c>
      <c r="O11" s="13"/>
      <c r="P11" s="13"/>
      <c r="Q11" s="13" t="s">
        <v>158</v>
      </c>
      <c r="R11" s="8"/>
    </row>
    <row r="12" spans="1:18" ht="42" x14ac:dyDescent="0.15">
      <c r="A12" s="9">
        <v>11</v>
      </c>
      <c r="B12" s="9">
        <v>246</v>
      </c>
      <c r="C12" s="7" t="s">
        <v>26</v>
      </c>
      <c r="D12" s="7" t="s">
        <v>27</v>
      </c>
      <c r="E12" s="11">
        <v>15</v>
      </c>
      <c r="F12" s="11">
        <v>30.361450000000001</v>
      </c>
      <c r="G12" s="11">
        <v>30</v>
      </c>
      <c r="H12" s="11">
        <v>0</v>
      </c>
      <c r="I12" s="11">
        <v>8039.0972999999403</v>
      </c>
      <c r="J12" s="13" t="s">
        <v>156</v>
      </c>
      <c r="K12" s="13" t="s">
        <v>157</v>
      </c>
      <c r="L12" s="13"/>
      <c r="M12" s="13"/>
      <c r="N12" s="13">
        <v>15</v>
      </c>
      <c r="O12" s="13"/>
      <c r="P12" s="13"/>
      <c r="Q12" s="13" t="s">
        <v>158</v>
      </c>
      <c r="R12" s="8"/>
    </row>
    <row r="13" spans="1:18" ht="42" x14ac:dyDescent="0.15">
      <c r="A13" s="9">
        <v>12</v>
      </c>
      <c r="B13" s="9">
        <v>177</v>
      </c>
      <c r="C13" s="7" t="s">
        <v>28</v>
      </c>
      <c r="D13" s="7" t="s">
        <v>29</v>
      </c>
      <c r="E13" s="11">
        <v>13</v>
      </c>
      <c r="F13" s="11">
        <v>50</v>
      </c>
      <c r="G13" s="11">
        <v>50</v>
      </c>
      <c r="H13" s="11">
        <v>0</v>
      </c>
      <c r="I13" s="11">
        <v>6428.3711999999596</v>
      </c>
      <c r="J13" s="13" t="s">
        <v>156</v>
      </c>
      <c r="K13" s="13" t="s">
        <v>157</v>
      </c>
      <c r="L13" s="13"/>
      <c r="M13" s="13"/>
      <c r="N13" s="13">
        <v>13</v>
      </c>
      <c r="O13" s="13"/>
      <c r="P13" s="13"/>
      <c r="Q13" s="13" t="s">
        <v>158</v>
      </c>
      <c r="R13" s="8"/>
    </row>
    <row r="14" spans="1:18" ht="42" x14ac:dyDescent="0.15">
      <c r="A14" s="9">
        <v>13</v>
      </c>
      <c r="B14" s="9">
        <v>115</v>
      </c>
      <c r="C14" s="7" t="s">
        <v>30</v>
      </c>
      <c r="D14" s="7" t="s">
        <v>31</v>
      </c>
      <c r="E14" s="11">
        <v>11</v>
      </c>
      <c r="F14" s="11">
        <v>50</v>
      </c>
      <c r="G14" s="11">
        <v>50</v>
      </c>
      <c r="H14" s="11">
        <v>0</v>
      </c>
      <c r="I14" s="11">
        <v>3392.6658999999399</v>
      </c>
      <c r="J14" s="13" t="s">
        <v>156</v>
      </c>
      <c r="K14" s="13" t="s">
        <v>157</v>
      </c>
      <c r="L14" s="13"/>
      <c r="M14" s="13"/>
      <c r="N14" s="13">
        <v>11</v>
      </c>
      <c r="O14" s="13"/>
      <c r="P14" s="13"/>
      <c r="Q14" s="13" t="s">
        <v>158</v>
      </c>
      <c r="R14" s="8"/>
    </row>
    <row r="15" spans="1:18" ht="42" x14ac:dyDescent="0.15">
      <c r="A15" s="9">
        <v>14</v>
      </c>
      <c r="B15" s="9">
        <v>138</v>
      </c>
      <c r="C15" s="7" t="s">
        <v>32</v>
      </c>
      <c r="D15" s="7" t="s">
        <v>33</v>
      </c>
      <c r="E15" s="11">
        <v>10</v>
      </c>
      <c r="F15" s="11">
        <v>13.37349</v>
      </c>
      <c r="G15" s="11">
        <v>13.73494</v>
      </c>
      <c r="H15" s="11">
        <v>1</v>
      </c>
      <c r="I15" s="11">
        <v>9361.1023999998597</v>
      </c>
      <c r="J15" s="13" t="s">
        <v>156</v>
      </c>
      <c r="K15" s="13" t="s">
        <v>157</v>
      </c>
      <c r="L15" s="13"/>
      <c r="M15" s="13"/>
      <c r="N15" s="13">
        <v>10</v>
      </c>
      <c r="O15" s="13"/>
      <c r="P15" s="13"/>
      <c r="Q15" s="13" t="s">
        <v>158</v>
      </c>
      <c r="R15" s="8"/>
    </row>
    <row r="16" spans="1:18" ht="42" x14ac:dyDescent="0.15">
      <c r="A16" s="9">
        <v>15</v>
      </c>
      <c r="B16" s="9">
        <v>21</v>
      </c>
      <c r="C16" s="7" t="s">
        <v>34</v>
      </c>
      <c r="D16" s="7" t="s">
        <v>35</v>
      </c>
      <c r="E16" s="11">
        <v>9</v>
      </c>
      <c r="F16" s="11">
        <v>69.397589999999994</v>
      </c>
      <c r="G16" s="11">
        <v>63.132530000000003</v>
      </c>
      <c r="H16" s="11">
        <v>0</v>
      </c>
      <c r="I16" s="11">
        <v>10423.1464</v>
      </c>
      <c r="J16" s="13" t="s">
        <v>156</v>
      </c>
      <c r="K16" s="13" t="s">
        <v>157</v>
      </c>
      <c r="L16" s="13"/>
      <c r="M16" s="13"/>
      <c r="N16" s="13">
        <v>9</v>
      </c>
      <c r="O16" s="13"/>
      <c r="P16" s="13"/>
      <c r="Q16" s="13" t="s">
        <v>158</v>
      </c>
      <c r="R16" s="8"/>
    </row>
    <row r="17" spans="1:26" ht="42" x14ac:dyDescent="0.15">
      <c r="A17" s="9">
        <v>16</v>
      </c>
      <c r="B17" s="9">
        <v>204</v>
      </c>
      <c r="C17" s="7" t="s">
        <v>36</v>
      </c>
      <c r="D17" s="7" t="s">
        <v>37</v>
      </c>
      <c r="E17" s="11">
        <v>11</v>
      </c>
      <c r="F17" s="11">
        <v>75.180719999999994</v>
      </c>
      <c r="G17" s="11">
        <v>43.614460000000001</v>
      </c>
      <c r="H17" s="11">
        <v>0</v>
      </c>
      <c r="I17" s="11">
        <v>7602.5771000000796</v>
      </c>
      <c r="J17" s="13" t="s">
        <v>156</v>
      </c>
      <c r="K17" s="13" t="s">
        <v>157</v>
      </c>
      <c r="L17" s="13"/>
      <c r="M17" s="13"/>
      <c r="N17" s="13">
        <v>11</v>
      </c>
      <c r="O17" s="13"/>
      <c r="P17" s="13"/>
      <c r="Q17" s="13" t="s">
        <v>158</v>
      </c>
      <c r="R17" s="8"/>
    </row>
    <row r="18" spans="1:26" ht="98" x14ac:dyDescent="0.15">
      <c r="A18" s="9">
        <v>17</v>
      </c>
      <c r="B18" s="9">
        <v>286</v>
      </c>
      <c r="C18" s="7" t="s">
        <v>38</v>
      </c>
      <c r="D18" s="7" t="s">
        <v>39</v>
      </c>
      <c r="E18" s="11">
        <v>10</v>
      </c>
      <c r="F18" s="11">
        <v>69.518069999999994</v>
      </c>
      <c r="G18" s="11">
        <v>27.951809999999998</v>
      </c>
      <c r="H18" s="11">
        <v>1</v>
      </c>
      <c r="I18" s="11">
        <v>9571.0116999998609</v>
      </c>
      <c r="J18" s="13" t="s">
        <v>162</v>
      </c>
      <c r="K18" s="13" t="s">
        <v>157</v>
      </c>
      <c r="L18" s="13" t="s">
        <v>167</v>
      </c>
      <c r="M18" s="13" t="s">
        <v>164</v>
      </c>
      <c r="N18" s="13">
        <v>10</v>
      </c>
      <c r="O18" s="13">
        <v>10</v>
      </c>
      <c r="P18" s="13">
        <v>0</v>
      </c>
      <c r="Q18" s="13" t="s">
        <v>168</v>
      </c>
      <c r="R18" s="8" t="s">
        <v>169</v>
      </c>
    </row>
    <row r="19" spans="1:26" ht="98" x14ac:dyDescent="0.15">
      <c r="A19" s="9">
        <v>18</v>
      </c>
      <c r="B19" s="9">
        <v>237</v>
      </c>
      <c r="C19" s="7" t="s">
        <v>9</v>
      </c>
      <c r="D19" s="7" t="s">
        <v>40</v>
      </c>
      <c r="E19" s="11">
        <v>17</v>
      </c>
      <c r="F19" s="11">
        <v>3.8554200000000001</v>
      </c>
      <c r="G19" s="11">
        <v>1.8072299999999999</v>
      </c>
      <c r="H19" s="11">
        <v>0</v>
      </c>
      <c r="I19" s="11">
        <v>12336.894700000001</v>
      </c>
      <c r="J19" s="13" t="s">
        <v>162</v>
      </c>
      <c r="K19" s="13" t="s">
        <v>151</v>
      </c>
      <c r="L19" s="13" t="s">
        <v>170</v>
      </c>
      <c r="M19" s="13" t="s">
        <v>164</v>
      </c>
      <c r="N19" s="13">
        <v>17</v>
      </c>
      <c r="O19" s="13">
        <v>17</v>
      </c>
      <c r="P19" s="13">
        <v>0</v>
      </c>
      <c r="Q19" s="13" t="s">
        <v>171</v>
      </c>
      <c r="R19" s="8" t="s">
        <v>169</v>
      </c>
    </row>
    <row r="20" spans="1:26" ht="28" x14ac:dyDescent="0.15">
      <c r="A20" s="9">
        <v>19</v>
      </c>
      <c r="B20" s="9">
        <v>37</v>
      </c>
      <c r="C20" s="7" t="s">
        <v>41</v>
      </c>
      <c r="D20" s="7" t="s">
        <v>42</v>
      </c>
      <c r="E20" s="11">
        <v>14</v>
      </c>
      <c r="F20" s="11">
        <v>9.1566299999999998</v>
      </c>
      <c r="G20" s="11">
        <v>18.795179999999998</v>
      </c>
      <c r="H20" s="11">
        <v>0</v>
      </c>
      <c r="I20" s="11">
        <v>7277.4324999998798</v>
      </c>
      <c r="J20" s="13" t="s">
        <v>164</v>
      </c>
      <c r="K20" s="13" t="s">
        <v>157</v>
      </c>
      <c r="L20" s="13" t="s">
        <v>172</v>
      </c>
      <c r="M20" s="13" t="s">
        <v>162</v>
      </c>
      <c r="N20" s="13">
        <v>14</v>
      </c>
      <c r="O20" s="13">
        <v>14</v>
      </c>
      <c r="P20" s="13">
        <v>0</v>
      </c>
      <c r="Q20" s="13" t="s">
        <v>173</v>
      </c>
      <c r="R20" s="8" t="s">
        <v>174</v>
      </c>
    </row>
    <row r="21" spans="1:26" ht="70" x14ac:dyDescent="0.15">
      <c r="A21" s="9">
        <v>20</v>
      </c>
      <c r="B21" s="9">
        <v>289</v>
      </c>
      <c r="C21" s="7" t="s">
        <v>38</v>
      </c>
      <c r="D21" s="7" t="s">
        <v>43</v>
      </c>
      <c r="E21" s="11">
        <v>13</v>
      </c>
      <c r="F21" s="11">
        <v>100</v>
      </c>
      <c r="G21" s="11">
        <v>79.036140000000003</v>
      </c>
      <c r="H21" s="11">
        <v>0</v>
      </c>
      <c r="I21" s="11">
        <v>10502.6875000001</v>
      </c>
      <c r="J21" s="13" t="s">
        <v>153</v>
      </c>
      <c r="K21" s="13" t="s">
        <v>157</v>
      </c>
      <c r="L21" s="13" t="s">
        <v>175</v>
      </c>
      <c r="M21" s="13" t="s">
        <v>150</v>
      </c>
      <c r="N21" s="13">
        <v>13</v>
      </c>
      <c r="O21" s="13">
        <v>13</v>
      </c>
      <c r="P21" s="13">
        <v>0</v>
      </c>
      <c r="Q21" s="13" t="s">
        <v>176</v>
      </c>
      <c r="R21" s="8" t="s">
        <v>161</v>
      </c>
    </row>
    <row r="22" spans="1:26" ht="42" x14ac:dyDescent="0.15">
      <c r="A22" s="9">
        <v>21</v>
      </c>
      <c r="B22" s="9">
        <v>220</v>
      </c>
      <c r="C22" s="7" t="s">
        <v>44</v>
      </c>
      <c r="D22" s="7" t="s">
        <v>45</v>
      </c>
      <c r="E22" s="11">
        <v>12</v>
      </c>
      <c r="F22" s="11">
        <v>89.638549999999995</v>
      </c>
      <c r="G22" s="11">
        <v>87.831329999999994</v>
      </c>
      <c r="H22" s="11">
        <v>0</v>
      </c>
      <c r="I22" s="11">
        <v>3285.2711999999601</v>
      </c>
      <c r="J22" s="13" t="s">
        <v>156</v>
      </c>
      <c r="K22" s="13" t="s">
        <v>157</v>
      </c>
      <c r="L22" s="13"/>
      <c r="M22" s="13"/>
      <c r="N22" s="13">
        <v>12</v>
      </c>
      <c r="O22" s="13"/>
      <c r="P22" s="13"/>
      <c r="Q22" s="13" t="s">
        <v>158</v>
      </c>
      <c r="R22" s="8"/>
    </row>
    <row r="23" spans="1:26" ht="42" x14ac:dyDescent="0.15">
      <c r="A23" s="9">
        <v>22</v>
      </c>
      <c r="B23" s="9">
        <v>180</v>
      </c>
      <c r="C23" s="7" t="s">
        <v>28</v>
      </c>
      <c r="D23" s="7" t="s">
        <v>46</v>
      </c>
      <c r="E23" s="11">
        <v>9</v>
      </c>
      <c r="F23" s="11">
        <v>75.180719999999994</v>
      </c>
      <c r="G23" s="11">
        <v>26.385539999999999</v>
      </c>
      <c r="H23" s="11">
        <v>0</v>
      </c>
      <c r="I23" s="11">
        <v>8797.8556999996708</v>
      </c>
      <c r="J23" s="13" t="s">
        <v>156</v>
      </c>
      <c r="K23" s="13" t="s">
        <v>157</v>
      </c>
      <c r="L23" s="13"/>
      <c r="M23" s="13"/>
      <c r="N23" s="13">
        <v>9</v>
      </c>
      <c r="O23" s="13"/>
      <c r="P23" s="13"/>
      <c r="Q23" s="13" t="s">
        <v>158</v>
      </c>
      <c r="R23" s="8"/>
    </row>
    <row r="24" spans="1:26" ht="42" x14ac:dyDescent="0.15">
      <c r="A24" s="9">
        <v>23</v>
      </c>
      <c r="B24" s="9">
        <v>175</v>
      </c>
      <c r="C24" s="7" t="s">
        <v>47</v>
      </c>
      <c r="D24" s="7" t="s">
        <v>48</v>
      </c>
      <c r="E24" s="11">
        <v>8</v>
      </c>
      <c r="F24" s="12"/>
      <c r="G24" s="12"/>
      <c r="H24" s="12"/>
      <c r="I24" s="12"/>
      <c r="J24" s="13" t="s">
        <v>153</v>
      </c>
      <c r="K24" s="13" t="s">
        <v>151</v>
      </c>
      <c r="L24" s="13" t="s">
        <v>177</v>
      </c>
      <c r="M24" s="13" t="s">
        <v>150</v>
      </c>
      <c r="N24" s="13">
        <v>8</v>
      </c>
      <c r="O24" s="13">
        <v>8</v>
      </c>
      <c r="P24" s="13">
        <v>0</v>
      </c>
      <c r="Q24" s="13" t="s">
        <v>178</v>
      </c>
      <c r="R24" s="8" t="s">
        <v>179</v>
      </c>
    </row>
    <row r="25" spans="1:26" ht="42" x14ac:dyDescent="0.15">
      <c r="A25" s="9">
        <v>24</v>
      </c>
      <c r="B25" s="9">
        <v>214</v>
      </c>
      <c r="C25" s="7" t="s">
        <v>11</v>
      </c>
      <c r="D25" s="7" t="s">
        <v>49</v>
      </c>
      <c r="E25" s="11">
        <v>20</v>
      </c>
      <c r="F25" s="11">
        <v>57.349400000000003</v>
      </c>
      <c r="G25" s="11">
        <v>43.734940000000002</v>
      </c>
      <c r="H25" s="11">
        <v>0</v>
      </c>
      <c r="I25" s="11">
        <v>10280.828800000299</v>
      </c>
      <c r="J25" s="13" t="s">
        <v>156</v>
      </c>
      <c r="K25" s="13" t="s">
        <v>157</v>
      </c>
      <c r="L25" s="13"/>
      <c r="M25" s="13"/>
      <c r="N25" s="13">
        <v>20</v>
      </c>
      <c r="O25" s="13"/>
      <c r="P25" s="13"/>
      <c r="Q25" s="13" t="s">
        <v>158</v>
      </c>
      <c r="R25" s="8"/>
    </row>
    <row r="26" spans="1:26" ht="42" x14ac:dyDescent="0.15">
      <c r="A26" s="9">
        <v>25</v>
      </c>
      <c r="B26" s="9">
        <v>203</v>
      </c>
      <c r="C26" s="7" t="s">
        <v>36</v>
      </c>
      <c r="D26" s="7" t="s">
        <v>50</v>
      </c>
      <c r="E26" s="11">
        <v>17</v>
      </c>
      <c r="F26" s="11">
        <v>80.240960000000001</v>
      </c>
      <c r="G26" s="11">
        <v>68.313249999999996</v>
      </c>
      <c r="H26" s="11">
        <v>0</v>
      </c>
      <c r="I26" s="11">
        <v>4840.9246000002004</v>
      </c>
      <c r="J26" s="13" t="s">
        <v>156</v>
      </c>
      <c r="K26" s="13" t="s">
        <v>157</v>
      </c>
      <c r="L26" s="13"/>
      <c r="M26" s="13"/>
      <c r="N26" s="13">
        <v>17</v>
      </c>
      <c r="O26" s="13"/>
      <c r="P26" s="13"/>
      <c r="Q26" s="13" t="s">
        <v>158</v>
      </c>
      <c r="R26" s="8"/>
    </row>
    <row r="27" spans="1:26" ht="42" x14ac:dyDescent="0.15">
      <c r="A27" s="9">
        <v>26</v>
      </c>
      <c r="B27" s="9">
        <v>184</v>
      </c>
      <c r="C27" s="7" t="s">
        <v>51</v>
      </c>
      <c r="D27" s="7" t="s">
        <v>52</v>
      </c>
      <c r="E27" s="11">
        <v>13</v>
      </c>
      <c r="F27" s="11">
        <v>69.036140000000003</v>
      </c>
      <c r="G27" s="11">
        <v>39.27711</v>
      </c>
      <c r="H27" s="11">
        <v>0</v>
      </c>
      <c r="I27" s="11">
        <v>3891.09519999957</v>
      </c>
      <c r="J27" s="13" t="s">
        <v>156</v>
      </c>
      <c r="K27" s="13" t="s">
        <v>157</v>
      </c>
      <c r="L27" s="13"/>
      <c r="M27" s="13"/>
      <c r="N27" s="13">
        <v>13</v>
      </c>
      <c r="O27" s="13"/>
      <c r="P27" s="13"/>
      <c r="Q27" s="13" t="s">
        <v>158</v>
      </c>
      <c r="R27" s="8"/>
    </row>
    <row r="28" spans="1:26" ht="42" x14ac:dyDescent="0.15">
      <c r="A28" s="10">
        <v>27</v>
      </c>
      <c r="B28" s="10">
        <v>241</v>
      </c>
      <c r="C28" s="6" t="s">
        <v>53</v>
      </c>
      <c r="D28" s="6" t="s">
        <v>54</v>
      </c>
      <c r="E28" s="5">
        <v>8</v>
      </c>
      <c r="F28" s="5"/>
      <c r="G28" s="5"/>
      <c r="H28" s="5"/>
      <c r="I28" s="5"/>
      <c r="J28" s="14" t="s">
        <v>156</v>
      </c>
      <c r="K28" s="14" t="s">
        <v>157</v>
      </c>
      <c r="L28" s="14"/>
      <c r="M28" s="14"/>
      <c r="N28" s="14">
        <v>8</v>
      </c>
      <c r="O28" s="14"/>
      <c r="P28" s="14"/>
      <c r="Q28" s="14" t="s">
        <v>158</v>
      </c>
      <c r="R28" s="6"/>
      <c r="S28" s="1"/>
      <c r="T28" s="1"/>
      <c r="U28" s="1"/>
      <c r="V28" s="1"/>
      <c r="W28" s="1"/>
      <c r="X28" s="1"/>
      <c r="Y28" s="1"/>
      <c r="Z28" s="1"/>
    </row>
    <row r="29" spans="1:26" ht="42" x14ac:dyDescent="0.15">
      <c r="A29" s="9">
        <v>28</v>
      </c>
      <c r="B29" s="9">
        <v>176</v>
      </c>
      <c r="C29" s="7" t="s">
        <v>47</v>
      </c>
      <c r="D29" s="7" t="s">
        <v>55</v>
      </c>
      <c r="E29" s="11">
        <v>17</v>
      </c>
      <c r="F29" s="11">
        <v>95.301199999999994</v>
      </c>
      <c r="G29" s="11">
        <v>7.5903600000000004</v>
      </c>
      <c r="H29" s="11">
        <v>0</v>
      </c>
      <c r="I29" s="11">
        <v>5549.8013000001101</v>
      </c>
      <c r="J29" s="13" t="s">
        <v>153</v>
      </c>
      <c r="K29" s="13" t="s">
        <v>151</v>
      </c>
      <c r="L29" s="13" t="s">
        <v>180</v>
      </c>
      <c r="M29" s="13" t="s">
        <v>150</v>
      </c>
      <c r="N29" s="13">
        <v>17</v>
      </c>
      <c r="O29" s="13">
        <v>17</v>
      </c>
      <c r="P29" s="13">
        <v>0</v>
      </c>
      <c r="Q29" s="13" t="s">
        <v>181</v>
      </c>
      <c r="R29" s="8" t="s">
        <v>179</v>
      </c>
    </row>
    <row r="30" spans="1:26" ht="42" x14ac:dyDescent="0.15">
      <c r="A30" s="9">
        <v>29</v>
      </c>
      <c r="B30" s="9">
        <v>101</v>
      </c>
      <c r="C30" s="7" t="s">
        <v>16</v>
      </c>
      <c r="D30" s="7" t="s">
        <v>56</v>
      </c>
      <c r="E30" s="11">
        <v>12</v>
      </c>
      <c r="F30" s="11">
        <v>73.493979999999993</v>
      </c>
      <c r="G30" s="11">
        <v>73.132530000000003</v>
      </c>
      <c r="H30" s="11">
        <v>0</v>
      </c>
      <c r="I30" s="11">
        <v>4587.6427000001404</v>
      </c>
      <c r="J30" s="13" t="s">
        <v>156</v>
      </c>
      <c r="K30" s="13" t="s">
        <v>157</v>
      </c>
      <c r="L30" s="13"/>
      <c r="M30" s="13"/>
      <c r="N30" s="13">
        <v>12</v>
      </c>
      <c r="O30" s="13"/>
      <c r="P30" s="13"/>
      <c r="Q30" s="13" t="s">
        <v>158</v>
      </c>
      <c r="R30" s="8"/>
    </row>
    <row r="31" spans="1:26" ht="42" x14ac:dyDescent="0.15">
      <c r="A31" s="9">
        <v>30</v>
      </c>
      <c r="B31" s="9">
        <v>128</v>
      </c>
      <c r="C31" s="7" t="s">
        <v>57</v>
      </c>
      <c r="D31" s="7" t="s">
        <v>58</v>
      </c>
      <c r="E31" s="11">
        <v>16</v>
      </c>
      <c r="F31" s="11">
        <v>65.662649999999999</v>
      </c>
      <c r="G31" s="11">
        <v>65.90361</v>
      </c>
      <c r="H31" s="11">
        <v>0</v>
      </c>
      <c r="I31" s="11">
        <v>6583.6559999999599</v>
      </c>
      <c r="J31" s="13" t="s">
        <v>156</v>
      </c>
      <c r="K31" s="13" t="s">
        <v>157</v>
      </c>
      <c r="L31" s="13"/>
      <c r="M31" s="13"/>
      <c r="N31" s="13">
        <v>16</v>
      </c>
      <c r="O31" s="13"/>
      <c r="P31" s="13"/>
      <c r="Q31" s="13" t="s">
        <v>158</v>
      </c>
      <c r="R31" s="8"/>
    </row>
    <row r="32" spans="1:26" ht="42" x14ac:dyDescent="0.15">
      <c r="A32" s="9">
        <v>31</v>
      </c>
      <c r="B32" s="9">
        <v>221</v>
      </c>
      <c r="C32" s="7" t="s">
        <v>44</v>
      </c>
      <c r="D32" s="7" t="s">
        <v>59</v>
      </c>
      <c r="E32" s="11">
        <v>12</v>
      </c>
      <c r="F32" s="11">
        <v>90.602410000000006</v>
      </c>
      <c r="G32" s="11">
        <v>83.975899999999996</v>
      </c>
      <c r="H32" s="11">
        <v>0</v>
      </c>
      <c r="I32" s="11">
        <v>3161.4455999997999</v>
      </c>
      <c r="J32" s="13" t="s">
        <v>156</v>
      </c>
      <c r="K32" s="13" t="s">
        <v>157</v>
      </c>
      <c r="L32" s="13"/>
      <c r="M32" s="13"/>
      <c r="N32" s="13">
        <v>12</v>
      </c>
      <c r="O32" s="13"/>
      <c r="P32" s="13"/>
      <c r="Q32" s="13" t="s">
        <v>158</v>
      </c>
      <c r="R32" s="8"/>
    </row>
    <row r="33" spans="1:26" ht="42" x14ac:dyDescent="0.15">
      <c r="A33" s="9">
        <v>32</v>
      </c>
      <c r="B33" s="9">
        <v>149</v>
      </c>
      <c r="C33" s="7" t="s">
        <v>24</v>
      </c>
      <c r="D33" s="7" t="s">
        <v>60</v>
      </c>
      <c r="E33" s="11">
        <v>9</v>
      </c>
      <c r="F33" s="11">
        <v>79.036140000000003</v>
      </c>
      <c r="G33" s="11">
        <v>29.397590000000001</v>
      </c>
      <c r="H33" s="11">
        <v>0</v>
      </c>
      <c r="I33" s="11">
        <v>16737.703200000498</v>
      </c>
      <c r="J33" s="13" t="s">
        <v>156</v>
      </c>
      <c r="K33" s="13" t="s">
        <v>157</v>
      </c>
      <c r="L33" s="13"/>
      <c r="M33" s="13"/>
      <c r="N33" s="13">
        <v>9</v>
      </c>
      <c r="O33" s="13"/>
      <c r="P33" s="13"/>
      <c r="Q33" s="13" t="s">
        <v>158</v>
      </c>
      <c r="R33" s="8"/>
    </row>
    <row r="34" spans="1:26" ht="42" x14ac:dyDescent="0.15">
      <c r="A34" s="9">
        <v>33</v>
      </c>
      <c r="B34" s="9">
        <v>132</v>
      </c>
      <c r="C34" s="7" t="s">
        <v>61</v>
      </c>
      <c r="D34" s="7" t="s">
        <v>62</v>
      </c>
      <c r="E34" s="11">
        <v>9</v>
      </c>
      <c r="F34" s="11">
        <v>80.963859999999997</v>
      </c>
      <c r="G34" s="11">
        <v>67.228920000000002</v>
      </c>
      <c r="H34" s="11">
        <v>0</v>
      </c>
      <c r="I34" s="11">
        <v>13125.730400000301</v>
      </c>
      <c r="J34" s="13" t="s">
        <v>156</v>
      </c>
      <c r="K34" s="13" t="s">
        <v>157</v>
      </c>
      <c r="L34" s="13"/>
      <c r="M34" s="13"/>
      <c r="N34" s="13">
        <v>9</v>
      </c>
      <c r="O34" s="13"/>
      <c r="P34" s="13"/>
      <c r="Q34" s="13" t="s">
        <v>158</v>
      </c>
      <c r="R34" s="8"/>
    </row>
    <row r="35" spans="1:26" ht="42" x14ac:dyDescent="0.15">
      <c r="A35" s="9">
        <v>34</v>
      </c>
      <c r="B35" s="9">
        <v>151</v>
      </c>
      <c r="C35" s="7" t="s">
        <v>24</v>
      </c>
      <c r="D35" s="7" t="s">
        <v>63</v>
      </c>
      <c r="E35" s="11">
        <v>14</v>
      </c>
      <c r="F35" s="11">
        <v>94.457830000000001</v>
      </c>
      <c r="G35" s="11">
        <v>10.84337</v>
      </c>
      <c r="H35" s="11">
        <v>0</v>
      </c>
      <c r="I35" s="11">
        <v>4775.1435000000001</v>
      </c>
      <c r="J35" s="13" t="s">
        <v>156</v>
      </c>
      <c r="K35" s="13" t="s">
        <v>157</v>
      </c>
      <c r="L35" s="13"/>
      <c r="M35" s="13"/>
      <c r="N35" s="13">
        <v>14</v>
      </c>
      <c r="O35" s="13"/>
      <c r="P35" s="13"/>
      <c r="Q35" s="13" t="s">
        <v>158</v>
      </c>
      <c r="R35" s="8"/>
    </row>
    <row r="36" spans="1:26" ht="42" x14ac:dyDescent="0.15">
      <c r="A36" s="9">
        <v>35</v>
      </c>
      <c r="B36" s="9">
        <v>134</v>
      </c>
      <c r="C36" s="7" t="s">
        <v>61</v>
      </c>
      <c r="D36" s="7" t="s">
        <v>64</v>
      </c>
      <c r="E36" s="11">
        <v>9</v>
      </c>
      <c r="F36" s="11">
        <v>79.397589999999994</v>
      </c>
      <c r="G36" s="11">
        <v>19.27711</v>
      </c>
      <c r="H36" s="11">
        <v>0</v>
      </c>
      <c r="I36" s="11">
        <v>3814.83250000013</v>
      </c>
      <c r="J36" s="13" t="s">
        <v>156</v>
      </c>
      <c r="K36" s="13" t="s">
        <v>157</v>
      </c>
      <c r="L36" s="13"/>
      <c r="M36" s="13"/>
      <c r="N36" s="13">
        <v>9</v>
      </c>
      <c r="O36" s="13"/>
      <c r="P36" s="13"/>
      <c r="Q36" s="13" t="s">
        <v>158</v>
      </c>
      <c r="R36" s="8"/>
    </row>
    <row r="37" spans="1:26" ht="42" x14ac:dyDescent="0.15">
      <c r="A37" s="9">
        <v>36</v>
      </c>
      <c r="B37" s="9">
        <v>113</v>
      </c>
      <c r="C37" s="7" t="s">
        <v>30</v>
      </c>
      <c r="D37" s="7" t="s">
        <v>65</v>
      </c>
      <c r="E37" s="11">
        <v>10</v>
      </c>
      <c r="F37" s="11">
        <v>27.228919999999999</v>
      </c>
      <c r="G37" s="11">
        <v>27.228919999999999</v>
      </c>
      <c r="H37" s="11">
        <v>0</v>
      </c>
      <c r="I37" s="11">
        <v>7072.4939000001204</v>
      </c>
      <c r="J37" s="13" t="s">
        <v>156</v>
      </c>
      <c r="K37" s="13" t="s">
        <v>157</v>
      </c>
      <c r="L37" s="13"/>
      <c r="M37" s="13"/>
      <c r="N37" s="13">
        <v>10</v>
      </c>
      <c r="O37" s="13"/>
      <c r="P37" s="13"/>
      <c r="Q37" s="13" t="s">
        <v>158</v>
      </c>
      <c r="R37" s="8"/>
    </row>
    <row r="38" spans="1:26" ht="42" x14ac:dyDescent="0.15">
      <c r="A38" s="9">
        <v>37</v>
      </c>
      <c r="B38" s="9">
        <v>117</v>
      </c>
      <c r="C38" s="7" t="s">
        <v>57</v>
      </c>
      <c r="D38" s="7" t="s">
        <v>66</v>
      </c>
      <c r="E38" s="11">
        <v>17</v>
      </c>
      <c r="F38" s="11">
        <v>73.253010000000003</v>
      </c>
      <c r="G38" s="11">
        <v>75.78313</v>
      </c>
      <c r="H38" s="11">
        <v>0</v>
      </c>
      <c r="I38" s="11">
        <v>7495.4208000001399</v>
      </c>
      <c r="J38" s="13" t="s">
        <v>156</v>
      </c>
      <c r="K38" s="13" t="s">
        <v>157</v>
      </c>
      <c r="L38" s="13"/>
      <c r="M38" s="13"/>
      <c r="N38" s="13">
        <v>17</v>
      </c>
      <c r="O38" s="13"/>
      <c r="P38" s="13"/>
      <c r="Q38" s="13" t="s">
        <v>158</v>
      </c>
      <c r="R38" s="8"/>
    </row>
    <row r="39" spans="1:26" ht="42" x14ac:dyDescent="0.15">
      <c r="A39" s="10">
        <v>38</v>
      </c>
      <c r="B39" s="10">
        <v>63</v>
      </c>
      <c r="C39" s="6" t="s">
        <v>67</v>
      </c>
      <c r="D39" s="6" t="s">
        <v>68</v>
      </c>
      <c r="E39" s="5">
        <v>7</v>
      </c>
      <c r="F39" s="5"/>
      <c r="G39" s="5"/>
      <c r="H39" s="5"/>
      <c r="I39" s="5"/>
      <c r="J39" s="14" t="s">
        <v>156</v>
      </c>
      <c r="K39" s="14" t="s">
        <v>157</v>
      </c>
      <c r="L39" s="14"/>
      <c r="M39" s="14"/>
      <c r="N39" s="14">
        <v>7</v>
      </c>
      <c r="O39" s="14"/>
      <c r="P39" s="14"/>
      <c r="Q39" s="14" t="s">
        <v>158</v>
      </c>
      <c r="R39" s="6"/>
      <c r="S39" s="1"/>
      <c r="T39" s="1"/>
      <c r="U39" s="1"/>
      <c r="V39" s="1"/>
      <c r="W39" s="1"/>
      <c r="X39" s="1"/>
      <c r="Y39" s="1"/>
      <c r="Z39" s="1"/>
    </row>
    <row r="40" spans="1:26" ht="42" x14ac:dyDescent="0.15">
      <c r="A40" s="9">
        <v>39</v>
      </c>
      <c r="B40" s="9">
        <v>121</v>
      </c>
      <c r="C40" s="7" t="s">
        <v>57</v>
      </c>
      <c r="D40" s="7" t="s">
        <v>69</v>
      </c>
      <c r="E40" s="11">
        <v>16</v>
      </c>
      <c r="F40" s="11">
        <v>11.20482</v>
      </c>
      <c r="G40" s="11">
        <v>22.53012</v>
      </c>
      <c r="H40" s="11">
        <v>0</v>
      </c>
      <c r="I40" s="11">
        <v>11155.7541000001</v>
      </c>
      <c r="J40" s="13" t="s">
        <v>156</v>
      </c>
      <c r="K40" s="13" t="s">
        <v>157</v>
      </c>
      <c r="L40" s="13"/>
      <c r="M40" s="13"/>
      <c r="N40" s="13">
        <v>16</v>
      </c>
      <c r="O40" s="13"/>
      <c r="P40" s="13"/>
      <c r="Q40" s="13" t="s">
        <v>158</v>
      </c>
      <c r="R40" s="8"/>
    </row>
    <row r="41" spans="1:26" ht="42" x14ac:dyDescent="0.15">
      <c r="A41" s="10">
        <v>40</v>
      </c>
      <c r="B41" s="10">
        <v>2</v>
      </c>
      <c r="C41" s="6" t="s">
        <v>70</v>
      </c>
      <c r="D41" s="6" t="s">
        <v>71</v>
      </c>
      <c r="E41" s="5">
        <v>17</v>
      </c>
      <c r="F41" s="5"/>
      <c r="G41" s="5"/>
      <c r="H41" s="5"/>
      <c r="I41" s="5"/>
      <c r="J41" s="14" t="s">
        <v>156</v>
      </c>
      <c r="K41" s="14" t="s">
        <v>157</v>
      </c>
      <c r="L41" s="14"/>
      <c r="M41" s="14"/>
      <c r="N41" s="14">
        <v>17</v>
      </c>
      <c r="O41" s="14"/>
      <c r="P41" s="14"/>
      <c r="Q41" s="14" t="s">
        <v>158</v>
      </c>
      <c r="R41" s="6"/>
      <c r="S41" s="1"/>
      <c r="T41" s="1"/>
      <c r="U41" s="1"/>
      <c r="V41" s="1"/>
      <c r="W41" s="1"/>
      <c r="X41" s="1"/>
      <c r="Y41" s="1"/>
      <c r="Z41" s="1"/>
    </row>
    <row r="42" spans="1:26" ht="42" x14ac:dyDescent="0.15">
      <c r="A42" s="9">
        <v>41</v>
      </c>
      <c r="B42" s="9">
        <v>202</v>
      </c>
      <c r="C42" s="7" t="s">
        <v>36</v>
      </c>
      <c r="D42" s="7" t="s">
        <v>72</v>
      </c>
      <c r="E42" s="11">
        <v>12</v>
      </c>
      <c r="F42" s="11">
        <v>95.421689999999998</v>
      </c>
      <c r="G42" s="11">
        <v>80.602410000000006</v>
      </c>
      <c r="H42" s="11">
        <v>0</v>
      </c>
      <c r="I42" s="11">
        <v>13003.4834999994</v>
      </c>
      <c r="J42" s="13" t="s">
        <v>156</v>
      </c>
      <c r="K42" s="13" t="s">
        <v>157</v>
      </c>
      <c r="L42" s="13"/>
      <c r="M42" s="13"/>
      <c r="N42" s="13">
        <v>12</v>
      </c>
      <c r="O42" s="13"/>
      <c r="P42" s="13"/>
      <c r="Q42" s="13" t="s">
        <v>158</v>
      </c>
      <c r="R42" s="8"/>
    </row>
    <row r="43" spans="1:26" ht="42" x14ac:dyDescent="0.15">
      <c r="A43" s="9">
        <v>42</v>
      </c>
      <c r="B43" s="9">
        <v>249</v>
      </c>
      <c r="C43" s="7" t="s">
        <v>26</v>
      </c>
      <c r="D43" s="7" t="s">
        <v>73</v>
      </c>
      <c r="E43" s="11">
        <v>16</v>
      </c>
      <c r="F43" s="11">
        <v>76.506020000000007</v>
      </c>
      <c r="G43" s="11">
        <v>71.686750000000004</v>
      </c>
      <c r="H43" s="11">
        <v>0</v>
      </c>
      <c r="I43" s="11">
        <v>3606.43070000014</v>
      </c>
      <c r="J43" s="13" t="s">
        <v>156</v>
      </c>
      <c r="K43" s="13" t="s">
        <v>157</v>
      </c>
      <c r="L43" s="13"/>
      <c r="M43" s="13"/>
      <c r="N43" s="13">
        <v>16</v>
      </c>
      <c r="O43" s="13"/>
      <c r="P43" s="13"/>
      <c r="Q43" s="13" t="s">
        <v>158</v>
      </c>
      <c r="R43" s="8"/>
    </row>
    <row r="44" spans="1:26" ht="42" x14ac:dyDescent="0.15">
      <c r="A44" s="9">
        <v>43</v>
      </c>
      <c r="B44" s="9">
        <v>222</v>
      </c>
      <c r="C44" s="7" t="s">
        <v>44</v>
      </c>
      <c r="D44" s="7" t="s">
        <v>74</v>
      </c>
      <c r="E44" s="11">
        <v>13</v>
      </c>
      <c r="F44" s="11">
        <v>87.469880000000003</v>
      </c>
      <c r="G44" s="11">
        <v>85.90361</v>
      </c>
      <c r="H44" s="11">
        <v>0</v>
      </c>
      <c r="I44" s="11">
        <v>7504.3445000001302</v>
      </c>
      <c r="J44" s="13" t="s">
        <v>156</v>
      </c>
      <c r="K44" s="13" t="s">
        <v>157</v>
      </c>
      <c r="L44" s="13"/>
      <c r="M44" s="13"/>
      <c r="N44" s="13">
        <v>13</v>
      </c>
      <c r="O44" s="13"/>
      <c r="P44" s="13"/>
      <c r="Q44" s="13" t="s">
        <v>158</v>
      </c>
      <c r="R44" s="8"/>
    </row>
    <row r="45" spans="1:26" ht="42" x14ac:dyDescent="0.15">
      <c r="A45" s="10">
        <v>44</v>
      </c>
      <c r="B45" s="10">
        <v>5</v>
      </c>
      <c r="C45" s="6" t="s">
        <v>70</v>
      </c>
      <c r="D45" s="6" t="s">
        <v>75</v>
      </c>
      <c r="E45" s="5">
        <v>6</v>
      </c>
      <c r="F45" s="5"/>
      <c r="G45" s="5"/>
      <c r="H45" s="5"/>
      <c r="I45" s="5"/>
      <c r="J45" s="14" t="s">
        <v>156</v>
      </c>
      <c r="K45" s="14" t="s">
        <v>157</v>
      </c>
      <c r="L45" s="14"/>
      <c r="M45" s="14"/>
      <c r="N45" s="14">
        <v>6</v>
      </c>
      <c r="O45" s="14"/>
      <c r="P45" s="14"/>
      <c r="Q45" s="14" t="s">
        <v>158</v>
      </c>
      <c r="R45" s="6"/>
      <c r="S45" s="1"/>
      <c r="T45" s="1"/>
      <c r="U45" s="1"/>
      <c r="V45" s="1"/>
      <c r="W45" s="1"/>
      <c r="X45" s="1"/>
      <c r="Y45" s="1"/>
      <c r="Z45" s="1"/>
    </row>
    <row r="46" spans="1:26" ht="42" x14ac:dyDescent="0.15">
      <c r="A46" s="9">
        <v>45</v>
      </c>
      <c r="B46" s="9">
        <v>26</v>
      </c>
      <c r="C46" s="7" t="s">
        <v>34</v>
      </c>
      <c r="D46" s="7" t="s">
        <v>76</v>
      </c>
      <c r="E46" s="11">
        <v>19</v>
      </c>
      <c r="F46" s="11">
        <v>21.204820000000002</v>
      </c>
      <c r="G46" s="11">
        <v>65.90361</v>
      </c>
      <c r="H46" s="11">
        <v>0</v>
      </c>
      <c r="I46" s="11">
        <v>10805.947200001099</v>
      </c>
      <c r="J46" s="13" t="s">
        <v>156</v>
      </c>
      <c r="K46" s="13" t="s">
        <v>157</v>
      </c>
      <c r="L46" s="13"/>
      <c r="M46" s="13"/>
      <c r="N46" s="13">
        <v>19</v>
      </c>
      <c r="O46" s="13"/>
      <c r="P46" s="13"/>
      <c r="Q46" s="13" t="s">
        <v>158</v>
      </c>
      <c r="R46" s="8"/>
    </row>
    <row r="47" spans="1:26" ht="42" x14ac:dyDescent="0.15">
      <c r="A47" s="9">
        <v>46</v>
      </c>
      <c r="B47" s="9">
        <v>276</v>
      </c>
      <c r="C47" s="7" t="s">
        <v>77</v>
      </c>
      <c r="D47" s="7" t="s">
        <v>78</v>
      </c>
      <c r="E47" s="11">
        <v>9</v>
      </c>
      <c r="F47" s="11">
        <v>50</v>
      </c>
      <c r="G47" s="11">
        <v>50</v>
      </c>
      <c r="H47" s="11">
        <v>0</v>
      </c>
      <c r="I47" s="11">
        <v>10214.380800000399</v>
      </c>
      <c r="J47" s="13" t="s">
        <v>156</v>
      </c>
      <c r="K47" s="13" t="s">
        <v>157</v>
      </c>
      <c r="L47" s="13"/>
      <c r="M47" s="13"/>
      <c r="N47" s="13">
        <v>9</v>
      </c>
      <c r="O47" s="13"/>
      <c r="P47" s="13"/>
      <c r="Q47" s="13" t="s">
        <v>158</v>
      </c>
      <c r="R47" s="8"/>
    </row>
    <row r="48" spans="1:26" ht="42" x14ac:dyDescent="0.15">
      <c r="A48" s="9">
        <v>47</v>
      </c>
      <c r="B48" s="9">
        <v>130</v>
      </c>
      <c r="C48" s="7" t="s">
        <v>61</v>
      </c>
      <c r="D48" s="7" t="s">
        <v>79</v>
      </c>
      <c r="E48" s="11">
        <v>13</v>
      </c>
      <c r="F48" s="11">
        <v>46.024099999999997</v>
      </c>
      <c r="G48" s="11">
        <v>50</v>
      </c>
      <c r="H48" s="11">
        <v>0</v>
      </c>
      <c r="I48" s="11">
        <v>4730.6831999998503</v>
      </c>
      <c r="J48" s="13" t="s">
        <v>156</v>
      </c>
      <c r="K48" s="13" t="s">
        <v>157</v>
      </c>
      <c r="L48" s="13"/>
      <c r="M48" s="13"/>
      <c r="N48" s="13">
        <v>13</v>
      </c>
      <c r="O48" s="13"/>
      <c r="P48" s="13"/>
      <c r="Q48" s="13" t="s">
        <v>158</v>
      </c>
      <c r="R48" s="8"/>
    </row>
    <row r="49" spans="1:26" ht="70" x14ac:dyDescent="0.15">
      <c r="A49" s="9">
        <v>48</v>
      </c>
      <c r="B49" s="9">
        <v>230</v>
      </c>
      <c r="C49" s="7" t="s">
        <v>9</v>
      </c>
      <c r="D49" s="7" t="s">
        <v>80</v>
      </c>
      <c r="E49" s="11">
        <v>14</v>
      </c>
      <c r="F49" s="11">
        <v>78.313249999999996</v>
      </c>
      <c r="G49" s="11">
        <v>25.301200000000001</v>
      </c>
      <c r="H49" s="11">
        <v>0</v>
      </c>
      <c r="I49" s="11">
        <v>8657.6410999994296</v>
      </c>
      <c r="J49" s="13" t="s">
        <v>150</v>
      </c>
      <c r="K49" s="13" t="s">
        <v>157</v>
      </c>
      <c r="L49" s="13" t="s">
        <v>182</v>
      </c>
      <c r="M49" s="13" t="s">
        <v>153</v>
      </c>
      <c r="N49" s="13">
        <v>14</v>
      </c>
      <c r="O49" s="13">
        <v>14</v>
      </c>
      <c r="P49" s="13">
        <v>0</v>
      </c>
      <c r="Q49" s="13" t="s">
        <v>183</v>
      </c>
      <c r="R49" s="8" t="s">
        <v>155</v>
      </c>
    </row>
    <row r="50" spans="1:26" ht="42" x14ac:dyDescent="0.15">
      <c r="A50" s="9">
        <v>49</v>
      </c>
      <c r="B50" s="9">
        <v>227</v>
      </c>
      <c r="C50" s="7" t="s">
        <v>44</v>
      </c>
      <c r="D50" s="7" t="s">
        <v>81</v>
      </c>
      <c r="E50" s="11">
        <v>12</v>
      </c>
      <c r="F50" s="11">
        <v>55.180720000000001</v>
      </c>
      <c r="G50" s="11">
        <v>54.21687</v>
      </c>
      <c r="H50" s="11">
        <v>0</v>
      </c>
      <c r="I50" s="11">
        <v>14149.636500000301</v>
      </c>
      <c r="J50" s="13" t="s">
        <v>156</v>
      </c>
      <c r="K50" s="13" t="s">
        <v>157</v>
      </c>
      <c r="L50" s="13"/>
      <c r="M50" s="13"/>
      <c r="N50" s="13">
        <v>12</v>
      </c>
      <c r="O50" s="13"/>
      <c r="P50" s="13"/>
      <c r="Q50" s="13" t="s">
        <v>158</v>
      </c>
      <c r="R50" s="8"/>
    </row>
    <row r="51" spans="1:26" ht="42" x14ac:dyDescent="0.15">
      <c r="A51" s="9">
        <v>50</v>
      </c>
      <c r="B51" s="9">
        <v>62</v>
      </c>
      <c r="C51" s="7" t="s">
        <v>14</v>
      </c>
      <c r="D51" s="7" t="s">
        <v>82</v>
      </c>
      <c r="E51" s="11">
        <v>17</v>
      </c>
      <c r="F51" s="11">
        <v>73.614459999999994</v>
      </c>
      <c r="G51" s="11">
        <v>20.481929999999998</v>
      </c>
      <c r="H51" s="11">
        <v>0</v>
      </c>
      <c r="I51" s="11">
        <v>10585.2803000003</v>
      </c>
      <c r="J51" s="13" t="s">
        <v>156</v>
      </c>
      <c r="K51" s="13" t="s">
        <v>157</v>
      </c>
      <c r="L51" s="13"/>
      <c r="M51" s="13"/>
      <c r="N51" s="13">
        <v>17</v>
      </c>
      <c r="O51" s="13"/>
      <c r="P51" s="13"/>
      <c r="Q51" s="13" t="s">
        <v>158</v>
      </c>
      <c r="R51" s="8"/>
    </row>
    <row r="52" spans="1:26" ht="42" x14ac:dyDescent="0.15">
      <c r="A52" s="9">
        <v>51</v>
      </c>
      <c r="B52" s="9">
        <v>281</v>
      </c>
      <c r="C52" s="7" t="s">
        <v>77</v>
      </c>
      <c r="D52" s="7" t="s">
        <v>83</v>
      </c>
      <c r="E52" s="11">
        <v>13</v>
      </c>
      <c r="F52" s="11">
        <v>100</v>
      </c>
      <c r="G52" s="11">
        <v>100</v>
      </c>
      <c r="H52" s="11">
        <v>0</v>
      </c>
      <c r="I52" s="11">
        <v>6858.6824000000497</v>
      </c>
      <c r="J52" s="13" t="s">
        <v>150</v>
      </c>
      <c r="K52" s="13" t="s">
        <v>157</v>
      </c>
      <c r="L52" s="13" t="s">
        <v>184</v>
      </c>
      <c r="M52" s="13" t="s">
        <v>153</v>
      </c>
      <c r="N52" s="13">
        <v>13</v>
      </c>
      <c r="O52" s="13">
        <v>13</v>
      </c>
      <c r="P52" s="13">
        <v>0</v>
      </c>
      <c r="Q52" s="13" t="s">
        <v>185</v>
      </c>
      <c r="R52" s="8" t="s">
        <v>186</v>
      </c>
    </row>
    <row r="53" spans="1:26" ht="42" x14ac:dyDescent="0.15">
      <c r="A53" s="9">
        <v>52</v>
      </c>
      <c r="B53" s="9">
        <v>47</v>
      </c>
      <c r="C53" s="7" t="s">
        <v>84</v>
      </c>
      <c r="D53" s="7" t="s">
        <v>85</v>
      </c>
      <c r="E53" s="11">
        <v>14</v>
      </c>
      <c r="F53" s="11">
        <v>6.1445800000000004</v>
      </c>
      <c r="G53" s="11">
        <v>42.168669999999999</v>
      </c>
      <c r="H53" s="11">
        <v>0</v>
      </c>
      <c r="I53" s="11">
        <v>7228.1194000000796</v>
      </c>
      <c r="J53" s="13" t="s">
        <v>156</v>
      </c>
      <c r="K53" s="13" t="s">
        <v>157</v>
      </c>
      <c r="L53" s="13"/>
      <c r="M53" s="13"/>
      <c r="N53" s="13">
        <v>14</v>
      </c>
      <c r="O53" s="13"/>
      <c r="P53" s="13"/>
      <c r="Q53" s="13" t="s">
        <v>158</v>
      </c>
      <c r="R53" s="8"/>
    </row>
    <row r="54" spans="1:26" ht="42" x14ac:dyDescent="0.15">
      <c r="A54" s="9">
        <v>53</v>
      </c>
      <c r="B54" s="9">
        <v>181</v>
      </c>
      <c r="C54" s="7" t="s">
        <v>51</v>
      </c>
      <c r="D54" s="7" t="s">
        <v>86</v>
      </c>
      <c r="E54" s="11">
        <v>17</v>
      </c>
      <c r="F54" s="11">
        <v>97.590360000000004</v>
      </c>
      <c r="G54" s="11">
        <v>80.361450000000005</v>
      </c>
      <c r="H54" s="11">
        <v>0</v>
      </c>
      <c r="I54" s="11">
        <v>16389</v>
      </c>
      <c r="J54" s="13" t="s">
        <v>156</v>
      </c>
      <c r="K54" s="13" t="s">
        <v>157</v>
      </c>
      <c r="L54" s="13"/>
      <c r="M54" s="13"/>
      <c r="N54" s="13">
        <v>17</v>
      </c>
      <c r="O54" s="13"/>
      <c r="P54" s="13"/>
      <c r="Q54" s="13" t="s">
        <v>158</v>
      </c>
      <c r="R54" s="8"/>
    </row>
    <row r="55" spans="1:26" ht="42" x14ac:dyDescent="0.15">
      <c r="A55" s="9">
        <v>54</v>
      </c>
      <c r="B55" s="9">
        <v>112</v>
      </c>
      <c r="C55" s="7" t="s">
        <v>30</v>
      </c>
      <c r="D55" s="7" t="s">
        <v>87</v>
      </c>
      <c r="E55" s="11">
        <v>13</v>
      </c>
      <c r="F55" s="11">
        <v>27.349399999999999</v>
      </c>
      <c r="G55" s="11">
        <v>28.554220000000001</v>
      </c>
      <c r="H55" s="11">
        <v>1</v>
      </c>
      <c r="I55" s="11">
        <v>9321.17120000045</v>
      </c>
      <c r="J55" s="13" t="s">
        <v>156</v>
      </c>
      <c r="K55" s="13" t="s">
        <v>157</v>
      </c>
      <c r="L55" s="13"/>
      <c r="M55" s="13"/>
      <c r="N55" s="13">
        <v>13</v>
      </c>
      <c r="O55" s="13"/>
      <c r="P55" s="13"/>
      <c r="Q55" s="13" t="s">
        <v>158</v>
      </c>
      <c r="R55" s="8"/>
    </row>
    <row r="56" spans="1:26" ht="42" x14ac:dyDescent="0.15">
      <c r="A56" s="9">
        <v>55</v>
      </c>
      <c r="B56" s="9">
        <v>50</v>
      </c>
      <c r="C56" s="7" t="s">
        <v>84</v>
      </c>
      <c r="D56" s="7" t="s">
        <v>88</v>
      </c>
      <c r="E56" s="11">
        <v>11</v>
      </c>
      <c r="F56" s="11">
        <v>50</v>
      </c>
      <c r="G56" s="11">
        <v>50</v>
      </c>
      <c r="H56" s="11">
        <v>0</v>
      </c>
      <c r="I56" s="11">
        <v>8168.2845000000698</v>
      </c>
      <c r="J56" s="13" t="s">
        <v>156</v>
      </c>
      <c r="K56" s="13" t="s">
        <v>157</v>
      </c>
      <c r="L56" s="13"/>
      <c r="M56" s="13"/>
      <c r="N56" s="13">
        <v>11</v>
      </c>
      <c r="O56" s="13"/>
      <c r="P56" s="13"/>
      <c r="Q56" s="13" t="s">
        <v>158</v>
      </c>
      <c r="R56" s="8"/>
    </row>
    <row r="57" spans="1:26" ht="42" x14ac:dyDescent="0.15">
      <c r="A57" s="10">
        <v>56</v>
      </c>
      <c r="B57" s="10">
        <v>9</v>
      </c>
      <c r="C57" s="6" t="s">
        <v>89</v>
      </c>
      <c r="D57" s="6" t="s">
        <v>90</v>
      </c>
      <c r="E57" s="5">
        <v>7</v>
      </c>
      <c r="F57" s="5"/>
      <c r="G57" s="5"/>
      <c r="H57" s="5"/>
      <c r="I57" s="5"/>
      <c r="J57" s="14" t="s">
        <v>156</v>
      </c>
      <c r="K57" s="14" t="s">
        <v>157</v>
      </c>
      <c r="L57" s="14"/>
      <c r="M57" s="14"/>
      <c r="N57" s="14">
        <v>7</v>
      </c>
      <c r="O57" s="14"/>
      <c r="P57" s="14"/>
      <c r="Q57" s="14" t="s">
        <v>158</v>
      </c>
      <c r="R57" s="6"/>
      <c r="S57" s="1"/>
      <c r="T57" s="1"/>
      <c r="U57" s="1"/>
      <c r="V57" s="1"/>
      <c r="W57" s="1"/>
      <c r="X57" s="1"/>
      <c r="Y57" s="1"/>
      <c r="Z57" s="1"/>
    </row>
    <row r="58" spans="1:26" ht="42" x14ac:dyDescent="0.15">
      <c r="A58" s="9">
        <v>57</v>
      </c>
      <c r="B58" s="9">
        <v>23</v>
      </c>
      <c r="C58" s="7" t="s">
        <v>34</v>
      </c>
      <c r="D58" s="7" t="s">
        <v>91</v>
      </c>
      <c r="E58" s="11">
        <v>9</v>
      </c>
      <c r="F58" s="11">
        <v>79.518069999999994</v>
      </c>
      <c r="G58" s="11">
        <v>76.987949999999998</v>
      </c>
      <c r="H58" s="11">
        <v>0</v>
      </c>
      <c r="I58" s="11">
        <v>16443.873599999399</v>
      </c>
      <c r="J58" s="13" t="s">
        <v>156</v>
      </c>
      <c r="K58" s="13" t="s">
        <v>157</v>
      </c>
      <c r="L58" s="13"/>
      <c r="M58" s="13"/>
      <c r="N58" s="13">
        <v>9</v>
      </c>
      <c r="O58" s="13"/>
      <c r="P58" s="13"/>
      <c r="Q58" s="13" t="s">
        <v>158</v>
      </c>
      <c r="R58" s="8"/>
    </row>
    <row r="59" spans="1:26" ht="56" x14ac:dyDescent="0.15">
      <c r="A59" s="9">
        <v>58</v>
      </c>
      <c r="B59" s="9">
        <v>190</v>
      </c>
      <c r="C59" s="7" t="s">
        <v>20</v>
      </c>
      <c r="D59" s="7" t="s">
        <v>92</v>
      </c>
      <c r="E59" s="11">
        <v>20</v>
      </c>
      <c r="F59" s="11">
        <v>25.421690000000002</v>
      </c>
      <c r="G59" s="11">
        <v>28.554220000000001</v>
      </c>
      <c r="H59" s="11">
        <v>0</v>
      </c>
      <c r="I59" s="11">
        <v>11262.018100000199</v>
      </c>
      <c r="J59" s="13" t="s">
        <v>162</v>
      </c>
      <c r="K59" s="13" t="s">
        <v>151</v>
      </c>
      <c r="L59" s="13" t="s">
        <v>187</v>
      </c>
      <c r="M59" s="13" t="s">
        <v>164</v>
      </c>
      <c r="N59" s="13">
        <v>20</v>
      </c>
      <c r="O59" s="13">
        <v>20</v>
      </c>
      <c r="P59" s="13">
        <v>0</v>
      </c>
      <c r="Q59" s="13" t="s">
        <v>188</v>
      </c>
      <c r="R59" s="8" t="s">
        <v>166</v>
      </c>
    </row>
    <row r="60" spans="1:26" ht="42" x14ac:dyDescent="0.15">
      <c r="A60" s="9">
        <v>59</v>
      </c>
      <c r="B60" s="9">
        <v>54</v>
      </c>
      <c r="C60" s="7" t="s">
        <v>14</v>
      </c>
      <c r="D60" s="7" t="s">
        <v>93</v>
      </c>
      <c r="E60" s="11">
        <v>13</v>
      </c>
      <c r="F60" s="11">
        <v>72.650599999999997</v>
      </c>
      <c r="G60" s="11">
        <v>58.674700000000001</v>
      </c>
      <c r="H60" s="11">
        <v>0</v>
      </c>
      <c r="I60" s="11">
        <v>5273.5264000003199</v>
      </c>
      <c r="J60" s="13" t="s">
        <v>156</v>
      </c>
      <c r="K60" s="13" t="s">
        <v>157</v>
      </c>
      <c r="L60" s="13"/>
      <c r="M60" s="13"/>
      <c r="N60" s="13">
        <v>13</v>
      </c>
      <c r="O60" s="13"/>
      <c r="P60" s="13"/>
      <c r="Q60" s="13" t="s">
        <v>158</v>
      </c>
      <c r="R60" s="8"/>
    </row>
    <row r="61" spans="1:26" ht="42" x14ac:dyDescent="0.15">
      <c r="A61" s="9">
        <v>60</v>
      </c>
      <c r="B61" s="9">
        <v>213</v>
      </c>
      <c r="C61" s="7" t="s">
        <v>11</v>
      </c>
      <c r="D61" s="7" t="s">
        <v>94</v>
      </c>
      <c r="E61" s="11">
        <v>13</v>
      </c>
      <c r="F61" s="11">
        <v>50</v>
      </c>
      <c r="G61" s="11">
        <v>50</v>
      </c>
      <c r="H61" s="11">
        <v>0</v>
      </c>
      <c r="I61" s="11">
        <v>4272.3231999998698</v>
      </c>
      <c r="J61" s="13" t="s">
        <v>156</v>
      </c>
      <c r="K61" s="13" t="s">
        <v>157</v>
      </c>
      <c r="L61" s="13"/>
      <c r="M61" s="13"/>
      <c r="N61" s="13">
        <v>13</v>
      </c>
      <c r="O61" s="13"/>
      <c r="P61" s="13"/>
      <c r="Q61" s="13" t="s">
        <v>158</v>
      </c>
      <c r="R61" s="8"/>
    </row>
    <row r="62" spans="1:26" ht="42" x14ac:dyDescent="0.15">
      <c r="A62" s="9">
        <v>61</v>
      </c>
      <c r="B62" s="9">
        <v>156</v>
      </c>
      <c r="C62" s="7" t="s">
        <v>24</v>
      </c>
      <c r="D62" s="7" t="s">
        <v>95</v>
      </c>
      <c r="E62" s="11">
        <v>14</v>
      </c>
      <c r="F62" s="11">
        <v>93.855419999999995</v>
      </c>
      <c r="G62" s="11">
        <v>61.927709999999998</v>
      </c>
      <c r="H62" s="11">
        <v>0</v>
      </c>
      <c r="I62" s="11">
        <v>13399.363699998699</v>
      </c>
      <c r="J62" s="13" t="s">
        <v>156</v>
      </c>
      <c r="K62" s="13" t="s">
        <v>157</v>
      </c>
      <c r="L62" s="13"/>
      <c r="M62" s="13"/>
      <c r="N62" s="13">
        <v>14</v>
      </c>
      <c r="O62" s="13"/>
      <c r="P62" s="13"/>
      <c r="Q62" s="13" t="s">
        <v>158</v>
      </c>
      <c r="R62" s="8"/>
    </row>
    <row r="63" spans="1:26" ht="42" x14ac:dyDescent="0.15">
      <c r="A63" s="9">
        <v>62</v>
      </c>
      <c r="B63" s="9">
        <v>212</v>
      </c>
      <c r="C63" s="7" t="s">
        <v>11</v>
      </c>
      <c r="D63" s="7" t="s">
        <v>96</v>
      </c>
      <c r="E63" s="11">
        <v>15</v>
      </c>
      <c r="F63" s="11">
        <v>29.15663</v>
      </c>
      <c r="G63" s="11">
        <v>50</v>
      </c>
      <c r="H63" s="11">
        <v>0</v>
      </c>
      <c r="I63" s="11">
        <v>18861.363199999701</v>
      </c>
      <c r="J63" s="13" t="s">
        <v>156</v>
      </c>
      <c r="K63" s="13" t="s">
        <v>157</v>
      </c>
      <c r="L63" s="13"/>
      <c r="M63" s="13"/>
      <c r="N63" s="13">
        <v>15</v>
      </c>
      <c r="O63" s="13"/>
      <c r="P63" s="13"/>
      <c r="Q63" s="13" t="s">
        <v>158</v>
      </c>
      <c r="R63" s="8"/>
    </row>
    <row r="64" spans="1:26" ht="42" x14ac:dyDescent="0.15">
      <c r="A64" s="10">
        <v>63</v>
      </c>
      <c r="B64" s="10">
        <v>93</v>
      </c>
      <c r="C64" s="6" t="s">
        <v>97</v>
      </c>
      <c r="D64" s="6" t="s">
        <v>98</v>
      </c>
      <c r="E64" s="5">
        <v>7</v>
      </c>
      <c r="F64" s="5"/>
      <c r="G64" s="5"/>
      <c r="H64" s="5"/>
      <c r="I64" s="5"/>
      <c r="J64" s="14" t="s">
        <v>156</v>
      </c>
      <c r="K64" s="14" t="s">
        <v>157</v>
      </c>
      <c r="L64" s="14"/>
      <c r="M64" s="14"/>
      <c r="N64" s="14">
        <v>7</v>
      </c>
      <c r="O64" s="14"/>
      <c r="P64" s="14"/>
      <c r="Q64" s="14" t="s">
        <v>158</v>
      </c>
      <c r="R64" s="6"/>
      <c r="S64" s="1"/>
      <c r="T64" s="1"/>
      <c r="U64" s="1"/>
      <c r="V64" s="1"/>
      <c r="W64" s="1"/>
      <c r="X64" s="1"/>
      <c r="Y64" s="1"/>
      <c r="Z64" s="1"/>
    </row>
    <row r="65" spans="1:26" ht="42" x14ac:dyDescent="0.15">
      <c r="A65" s="9">
        <v>64</v>
      </c>
      <c r="B65" s="9">
        <v>272</v>
      </c>
      <c r="C65" s="7" t="s">
        <v>77</v>
      </c>
      <c r="D65" s="7" t="s">
        <v>99</v>
      </c>
      <c r="E65" s="11">
        <v>11</v>
      </c>
      <c r="F65" s="11">
        <v>55.78313</v>
      </c>
      <c r="G65" s="11">
        <v>54.698799999999999</v>
      </c>
      <c r="H65" s="11">
        <v>0</v>
      </c>
      <c r="I65" s="11">
        <v>7568.8066999999601</v>
      </c>
      <c r="J65" s="13" t="s">
        <v>162</v>
      </c>
      <c r="K65" s="13" t="s">
        <v>157</v>
      </c>
      <c r="L65" s="13" t="s">
        <v>189</v>
      </c>
      <c r="M65" s="13" t="s">
        <v>164</v>
      </c>
      <c r="N65" s="13">
        <v>11</v>
      </c>
      <c r="O65" s="13">
        <v>11</v>
      </c>
      <c r="P65" s="13">
        <v>0</v>
      </c>
      <c r="Q65" s="13" t="s">
        <v>190</v>
      </c>
      <c r="R65" s="8" t="s">
        <v>186</v>
      </c>
    </row>
    <row r="66" spans="1:26" ht="42" x14ac:dyDescent="0.15">
      <c r="A66" s="9">
        <v>65</v>
      </c>
      <c r="B66" s="9">
        <v>153</v>
      </c>
      <c r="C66" s="7" t="s">
        <v>24</v>
      </c>
      <c r="D66" s="7" t="s">
        <v>100</v>
      </c>
      <c r="E66" s="11">
        <v>17</v>
      </c>
      <c r="F66" s="11">
        <v>89.036140000000003</v>
      </c>
      <c r="G66" s="11">
        <v>60.481929999999998</v>
      </c>
      <c r="H66" s="11">
        <v>0</v>
      </c>
      <c r="I66" s="11">
        <v>13455.423699999499</v>
      </c>
      <c r="J66" s="13" t="s">
        <v>156</v>
      </c>
      <c r="K66" s="13" t="s">
        <v>157</v>
      </c>
      <c r="L66" s="13"/>
      <c r="M66" s="13"/>
      <c r="N66" s="13">
        <v>17</v>
      </c>
      <c r="O66" s="13"/>
      <c r="P66" s="13"/>
      <c r="Q66" s="13" t="s">
        <v>158</v>
      </c>
      <c r="R66" s="8"/>
    </row>
    <row r="67" spans="1:26" ht="70" x14ac:dyDescent="0.15">
      <c r="A67" s="9">
        <v>66</v>
      </c>
      <c r="B67" s="9">
        <v>229</v>
      </c>
      <c r="C67" s="7" t="s">
        <v>9</v>
      </c>
      <c r="D67" s="7" t="s">
        <v>101</v>
      </c>
      <c r="E67" s="11">
        <v>16</v>
      </c>
      <c r="F67" s="11">
        <v>92.650599999999997</v>
      </c>
      <c r="G67" s="11">
        <v>32.289160000000003</v>
      </c>
      <c r="H67" s="11">
        <v>0</v>
      </c>
      <c r="I67" s="11">
        <v>12279.2928000006</v>
      </c>
      <c r="J67" s="13" t="s">
        <v>153</v>
      </c>
      <c r="K67" s="13" t="s">
        <v>151</v>
      </c>
      <c r="L67" s="13" t="s">
        <v>191</v>
      </c>
      <c r="M67" s="13" t="s">
        <v>150</v>
      </c>
      <c r="N67" s="13">
        <v>16</v>
      </c>
      <c r="O67" s="13">
        <v>16</v>
      </c>
      <c r="P67" s="13">
        <v>0</v>
      </c>
      <c r="Q67" s="13" t="s">
        <v>192</v>
      </c>
      <c r="R67" s="8" t="s">
        <v>161</v>
      </c>
    </row>
    <row r="68" spans="1:26" ht="42" x14ac:dyDescent="0.15">
      <c r="A68" s="9">
        <v>67</v>
      </c>
      <c r="B68" s="9">
        <v>143</v>
      </c>
      <c r="C68" s="7" t="s">
        <v>32</v>
      </c>
      <c r="D68" s="7" t="s">
        <v>102</v>
      </c>
      <c r="E68" s="11">
        <v>16</v>
      </c>
      <c r="F68" s="11">
        <v>85.662649999999999</v>
      </c>
      <c r="G68" s="11">
        <v>10.240959999999999</v>
      </c>
      <c r="H68" s="11">
        <v>1</v>
      </c>
      <c r="I68" s="11">
        <v>10572.8311999999</v>
      </c>
      <c r="J68" s="13" t="s">
        <v>156</v>
      </c>
      <c r="K68" s="13" t="s">
        <v>157</v>
      </c>
      <c r="L68" s="13"/>
      <c r="M68" s="13"/>
      <c r="N68" s="13">
        <v>16</v>
      </c>
      <c r="O68" s="13"/>
      <c r="P68" s="13"/>
      <c r="Q68" s="13" t="s">
        <v>158</v>
      </c>
      <c r="R68" s="8"/>
    </row>
    <row r="69" spans="1:26" ht="42" x14ac:dyDescent="0.15">
      <c r="A69" s="9">
        <v>68</v>
      </c>
      <c r="B69" s="9">
        <v>119</v>
      </c>
      <c r="C69" s="7" t="s">
        <v>57</v>
      </c>
      <c r="D69" s="7" t="s">
        <v>103</v>
      </c>
      <c r="E69" s="11">
        <v>13</v>
      </c>
      <c r="F69" s="11">
        <v>7.8313300000000003</v>
      </c>
      <c r="G69" s="11">
        <v>14.21687</v>
      </c>
      <c r="H69" s="11">
        <v>0</v>
      </c>
      <c r="I69" s="11">
        <v>7894.8592000000699</v>
      </c>
      <c r="J69" s="13" t="s">
        <v>156</v>
      </c>
      <c r="K69" s="13" t="s">
        <v>157</v>
      </c>
      <c r="L69" s="13"/>
      <c r="M69" s="13"/>
      <c r="N69" s="13">
        <v>13</v>
      </c>
      <c r="O69" s="13"/>
      <c r="P69" s="13"/>
      <c r="Q69" s="13" t="s">
        <v>158</v>
      </c>
      <c r="R69" s="8"/>
    </row>
    <row r="70" spans="1:26" ht="70" x14ac:dyDescent="0.15">
      <c r="A70" s="9">
        <v>69</v>
      </c>
      <c r="B70" s="9">
        <v>290</v>
      </c>
      <c r="C70" s="7" t="s">
        <v>38</v>
      </c>
      <c r="D70" s="7" t="s">
        <v>104</v>
      </c>
      <c r="E70" s="11">
        <v>17</v>
      </c>
      <c r="F70" s="11">
        <v>95.421689999999998</v>
      </c>
      <c r="G70" s="11">
        <v>24.819279999999999</v>
      </c>
      <c r="H70" s="11">
        <v>0</v>
      </c>
      <c r="I70" s="11">
        <v>10388.1379000001</v>
      </c>
      <c r="J70" s="13" t="s">
        <v>153</v>
      </c>
      <c r="K70" s="13" t="s">
        <v>157</v>
      </c>
      <c r="L70" s="13" t="s">
        <v>193</v>
      </c>
      <c r="M70" s="13" t="s">
        <v>150</v>
      </c>
      <c r="N70" s="13">
        <v>17</v>
      </c>
      <c r="O70" s="13">
        <v>17</v>
      </c>
      <c r="P70" s="13">
        <v>0</v>
      </c>
      <c r="Q70" s="13" t="s">
        <v>194</v>
      </c>
      <c r="R70" s="8" t="s">
        <v>161</v>
      </c>
    </row>
    <row r="71" spans="1:26" ht="98" x14ac:dyDescent="0.15">
      <c r="A71" s="9">
        <v>70</v>
      </c>
      <c r="B71" s="9">
        <v>288</v>
      </c>
      <c r="C71" s="7" t="s">
        <v>38</v>
      </c>
      <c r="D71" s="7" t="s">
        <v>105</v>
      </c>
      <c r="E71" s="11">
        <v>11</v>
      </c>
      <c r="F71" s="11">
        <v>50</v>
      </c>
      <c r="G71" s="11">
        <v>50</v>
      </c>
      <c r="H71" s="11">
        <v>1</v>
      </c>
      <c r="I71" s="11">
        <v>7466.6831999999704</v>
      </c>
      <c r="J71" s="13" t="s">
        <v>162</v>
      </c>
      <c r="K71" s="13" t="s">
        <v>157</v>
      </c>
      <c r="L71" s="13" t="s">
        <v>195</v>
      </c>
      <c r="M71" s="13" t="s">
        <v>164</v>
      </c>
      <c r="N71" s="13">
        <v>11</v>
      </c>
      <c r="O71" s="13">
        <v>11</v>
      </c>
      <c r="P71" s="13">
        <v>0</v>
      </c>
      <c r="Q71" s="13" t="s">
        <v>196</v>
      </c>
      <c r="R71" s="8" t="s">
        <v>169</v>
      </c>
    </row>
    <row r="72" spans="1:26" ht="42" x14ac:dyDescent="0.15">
      <c r="A72" s="9">
        <v>71</v>
      </c>
      <c r="B72" s="9">
        <v>157</v>
      </c>
      <c r="C72" s="7" t="s">
        <v>24</v>
      </c>
      <c r="D72" s="7" t="s">
        <v>106</v>
      </c>
      <c r="E72" s="11">
        <v>9</v>
      </c>
      <c r="F72" s="11">
        <v>50</v>
      </c>
      <c r="G72" s="11">
        <v>50</v>
      </c>
      <c r="H72" s="11">
        <v>0</v>
      </c>
      <c r="I72" s="11">
        <v>3952.4288000002298</v>
      </c>
      <c r="J72" s="13" t="s">
        <v>156</v>
      </c>
      <c r="K72" s="13" t="s">
        <v>157</v>
      </c>
      <c r="L72" s="13"/>
      <c r="M72" s="13"/>
      <c r="N72" s="13">
        <v>9</v>
      </c>
      <c r="O72" s="13"/>
      <c r="P72" s="13"/>
      <c r="Q72" s="13" t="s">
        <v>158</v>
      </c>
      <c r="R72" s="8"/>
    </row>
    <row r="73" spans="1:26" ht="42" x14ac:dyDescent="0.15">
      <c r="A73" s="9">
        <v>72</v>
      </c>
      <c r="B73" s="9">
        <v>196</v>
      </c>
      <c r="C73" s="7" t="s">
        <v>18</v>
      </c>
      <c r="D73" s="7" t="s">
        <v>107</v>
      </c>
      <c r="E73" s="11">
        <v>18</v>
      </c>
      <c r="F73" s="11">
        <v>30</v>
      </c>
      <c r="G73" s="11">
        <v>29.15663</v>
      </c>
      <c r="H73" s="11">
        <v>0</v>
      </c>
      <c r="I73" s="11">
        <v>4952.3117000001903</v>
      </c>
      <c r="J73" s="13" t="s">
        <v>156</v>
      </c>
      <c r="K73" s="13" t="s">
        <v>157</v>
      </c>
      <c r="L73" s="13"/>
      <c r="M73" s="13"/>
      <c r="N73" s="13">
        <v>18</v>
      </c>
      <c r="O73" s="13"/>
      <c r="P73" s="13"/>
      <c r="Q73" s="13" t="s">
        <v>158</v>
      </c>
      <c r="R73" s="8"/>
    </row>
    <row r="74" spans="1:26" ht="42" x14ac:dyDescent="0.15">
      <c r="A74" s="10">
        <v>73</v>
      </c>
      <c r="B74" s="10">
        <v>67</v>
      </c>
      <c r="C74" s="6" t="s">
        <v>67</v>
      </c>
      <c r="D74" s="6" t="s">
        <v>108</v>
      </c>
      <c r="E74" s="5">
        <v>20</v>
      </c>
      <c r="F74" s="5"/>
      <c r="G74" s="5"/>
      <c r="H74" s="5"/>
      <c r="I74" s="5"/>
      <c r="J74" s="14" t="s">
        <v>156</v>
      </c>
      <c r="K74" s="14" t="s">
        <v>157</v>
      </c>
      <c r="L74" s="14"/>
      <c r="M74" s="14"/>
      <c r="N74" s="14">
        <v>20</v>
      </c>
      <c r="O74" s="14"/>
      <c r="P74" s="14"/>
      <c r="Q74" s="14" t="s">
        <v>158</v>
      </c>
      <c r="R74" s="6"/>
      <c r="S74" s="1"/>
      <c r="T74" s="1"/>
      <c r="U74" s="1"/>
      <c r="V74" s="1"/>
      <c r="W74" s="1"/>
      <c r="X74" s="1"/>
      <c r="Y74" s="1"/>
      <c r="Z74" s="1"/>
    </row>
    <row r="75" spans="1:26" ht="42" x14ac:dyDescent="0.15">
      <c r="A75" s="9">
        <v>74</v>
      </c>
      <c r="B75" s="9">
        <v>166</v>
      </c>
      <c r="C75" s="7" t="s">
        <v>109</v>
      </c>
      <c r="D75" s="7" t="s">
        <v>110</v>
      </c>
      <c r="E75" s="11">
        <v>15</v>
      </c>
      <c r="F75" s="11">
        <v>94.578310000000002</v>
      </c>
      <c r="G75" s="11">
        <v>86.265060000000005</v>
      </c>
      <c r="H75" s="11">
        <v>0</v>
      </c>
      <c r="I75" s="11">
        <v>6461.8288000001403</v>
      </c>
      <c r="J75" s="13" t="s">
        <v>153</v>
      </c>
      <c r="K75" s="13" t="s">
        <v>151</v>
      </c>
      <c r="L75" s="13" t="s">
        <v>197</v>
      </c>
      <c r="M75" s="13" t="s">
        <v>150</v>
      </c>
      <c r="N75" s="13">
        <v>15</v>
      </c>
      <c r="O75" s="13">
        <v>15</v>
      </c>
      <c r="P75" s="13">
        <v>0</v>
      </c>
      <c r="Q75" s="13" t="s">
        <v>198</v>
      </c>
      <c r="R75" s="8" t="s">
        <v>179</v>
      </c>
    </row>
    <row r="76" spans="1:26" ht="42" x14ac:dyDescent="0.15">
      <c r="A76" s="9">
        <v>75</v>
      </c>
      <c r="B76" s="9">
        <v>56</v>
      </c>
      <c r="C76" s="7" t="s">
        <v>14</v>
      </c>
      <c r="D76" s="7" t="s">
        <v>111</v>
      </c>
      <c r="E76" s="11">
        <v>12</v>
      </c>
      <c r="F76" s="11">
        <v>50</v>
      </c>
      <c r="G76" s="11">
        <v>50</v>
      </c>
      <c r="H76" s="11">
        <v>0</v>
      </c>
      <c r="I76" s="11">
        <v>10369.612799999701</v>
      </c>
      <c r="J76" s="13" t="s">
        <v>156</v>
      </c>
      <c r="K76" s="13" t="s">
        <v>157</v>
      </c>
      <c r="L76" s="13"/>
      <c r="M76" s="13"/>
      <c r="N76" s="13">
        <v>12</v>
      </c>
      <c r="O76" s="13"/>
      <c r="P76" s="13"/>
      <c r="Q76" s="13" t="s">
        <v>158</v>
      </c>
      <c r="R76" s="8"/>
    </row>
    <row r="77" spans="1:26" ht="42" x14ac:dyDescent="0.15">
      <c r="A77" s="9">
        <v>76</v>
      </c>
      <c r="B77" s="9">
        <v>136</v>
      </c>
      <c r="C77" s="7" t="s">
        <v>32</v>
      </c>
      <c r="D77" s="7" t="s">
        <v>112</v>
      </c>
      <c r="E77" s="11">
        <v>9</v>
      </c>
      <c r="F77" s="11">
        <v>0.72289000000000003</v>
      </c>
      <c r="G77" s="11">
        <v>13.37349</v>
      </c>
      <c r="H77" s="11">
        <v>1</v>
      </c>
      <c r="I77" s="11">
        <v>7763.0519999996804</v>
      </c>
      <c r="J77" s="13" t="s">
        <v>156</v>
      </c>
      <c r="K77" s="13" t="s">
        <v>157</v>
      </c>
      <c r="L77" s="13"/>
      <c r="M77" s="13"/>
      <c r="N77" s="13">
        <v>9</v>
      </c>
      <c r="O77" s="13"/>
      <c r="P77" s="13"/>
      <c r="Q77" s="13" t="s">
        <v>158</v>
      </c>
      <c r="R77" s="8"/>
    </row>
    <row r="78" spans="1:26" ht="42" x14ac:dyDescent="0.15">
      <c r="A78" s="9">
        <v>77</v>
      </c>
      <c r="B78" s="9">
        <v>245</v>
      </c>
      <c r="C78" s="7" t="s">
        <v>26</v>
      </c>
      <c r="D78" s="7" t="s">
        <v>113</v>
      </c>
      <c r="E78" s="11">
        <v>17</v>
      </c>
      <c r="F78" s="11">
        <v>23.975899999999999</v>
      </c>
      <c r="G78" s="11">
        <v>27.228919999999999</v>
      </c>
      <c r="H78" s="11">
        <v>0</v>
      </c>
      <c r="I78" s="11">
        <v>7694.5200000002496</v>
      </c>
      <c r="J78" s="13" t="s">
        <v>156</v>
      </c>
      <c r="K78" s="13" t="s">
        <v>157</v>
      </c>
      <c r="L78" s="13"/>
      <c r="M78" s="13"/>
      <c r="N78" s="13">
        <v>17</v>
      </c>
      <c r="O78" s="13"/>
      <c r="P78" s="13"/>
      <c r="Q78" s="13" t="s">
        <v>158</v>
      </c>
      <c r="R78" s="8"/>
    </row>
    <row r="79" spans="1:26" ht="42" x14ac:dyDescent="0.15">
      <c r="A79" s="10">
        <v>78</v>
      </c>
      <c r="B79" s="10">
        <v>57</v>
      </c>
      <c r="C79" s="6" t="s">
        <v>114</v>
      </c>
      <c r="D79" s="6" t="s">
        <v>115</v>
      </c>
      <c r="E79" s="5">
        <v>15</v>
      </c>
      <c r="F79" s="5"/>
      <c r="G79" s="5"/>
      <c r="H79" s="5"/>
      <c r="I79" s="5"/>
      <c r="J79" s="14" t="s">
        <v>156</v>
      </c>
      <c r="K79" s="14" t="s">
        <v>157</v>
      </c>
      <c r="L79" s="14"/>
      <c r="M79" s="14"/>
      <c r="N79" s="14">
        <v>15</v>
      </c>
      <c r="O79" s="14"/>
      <c r="P79" s="14"/>
      <c r="Q79" s="14" t="s">
        <v>158</v>
      </c>
      <c r="R79" s="6"/>
      <c r="S79" s="1"/>
      <c r="T79" s="1"/>
      <c r="U79" s="1"/>
      <c r="V79" s="1"/>
      <c r="W79" s="1"/>
      <c r="X79" s="1"/>
      <c r="Y79" s="1"/>
      <c r="Z79" s="1"/>
    </row>
    <row r="80" spans="1:26" ht="42" x14ac:dyDescent="0.15">
      <c r="A80" s="9">
        <v>79</v>
      </c>
      <c r="B80" s="9">
        <v>280</v>
      </c>
      <c r="C80" s="7" t="s">
        <v>77</v>
      </c>
      <c r="D80" s="7" t="s">
        <v>116</v>
      </c>
      <c r="E80" s="11">
        <v>13</v>
      </c>
      <c r="F80" s="11">
        <v>100</v>
      </c>
      <c r="G80" s="11">
        <v>24.698799999999999</v>
      </c>
      <c r="H80" s="11">
        <v>0</v>
      </c>
      <c r="I80" s="11">
        <v>11396.947700000101</v>
      </c>
      <c r="J80" s="13" t="s">
        <v>156</v>
      </c>
      <c r="K80" s="13" t="s">
        <v>157</v>
      </c>
      <c r="L80" s="13"/>
      <c r="M80" s="13"/>
      <c r="N80" s="13">
        <v>13</v>
      </c>
      <c r="O80" s="13"/>
      <c r="P80" s="13"/>
      <c r="Q80" s="13" t="s">
        <v>158</v>
      </c>
      <c r="R80" s="8"/>
    </row>
    <row r="81" spans="1:26" ht="42" x14ac:dyDescent="0.15">
      <c r="A81" s="9">
        <v>80</v>
      </c>
      <c r="B81" s="9">
        <v>199</v>
      </c>
      <c r="C81" s="7" t="s">
        <v>36</v>
      </c>
      <c r="D81" s="7" t="s">
        <v>117</v>
      </c>
      <c r="E81" s="11">
        <v>11</v>
      </c>
      <c r="F81" s="11">
        <v>21.204820000000002</v>
      </c>
      <c r="G81" s="11">
        <v>38.795180000000002</v>
      </c>
      <c r="H81" s="11">
        <v>0</v>
      </c>
      <c r="I81" s="11">
        <v>9758.5063999996091</v>
      </c>
      <c r="J81" s="13" t="s">
        <v>156</v>
      </c>
      <c r="K81" s="13" t="s">
        <v>157</v>
      </c>
      <c r="L81" s="13"/>
      <c r="M81" s="13"/>
      <c r="N81" s="13">
        <v>11</v>
      </c>
      <c r="O81" s="13"/>
      <c r="P81" s="13"/>
      <c r="Q81" s="13" t="s">
        <v>158</v>
      </c>
      <c r="R81" s="8"/>
    </row>
    <row r="82" spans="1:26" ht="42" x14ac:dyDescent="0.15">
      <c r="A82" s="9">
        <v>81</v>
      </c>
      <c r="B82" s="9">
        <v>247</v>
      </c>
      <c r="C82" s="7" t="s">
        <v>26</v>
      </c>
      <c r="D82" s="7" t="s">
        <v>118</v>
      </c>
      <c r="E82" s="11">
        <v>13</v>
      </c>
      <c r="F82" s="11">
        <v>53.614460000000001</v>
      </c>
      <c r="G82" s="11">
        <v>53.975900000000003</v>
      </c>
      <c r="H82" s="11">
        <v>0</v>
      </c>
      <c r="I82" s="11">
        <v>14352.1557000009</v>
      </c>
      <c r="J82" s="13" t="s">
        <v>156</v>
      </c>
      <c r="K82" s="13" t="s">
        <v>157</v>
      </c>
      <c r="L82" s="13"/>
      <c r="M82" s="13"/>
      <c r="N82" s="13">
        <v>13</v>
      </c>
      <c r="O82" s="13"/>
      <c r="P82" s="13"/>
      <c r="Q82" s="13" t="s">
        <v>158</v>
      </c>
      <c r="R82" s="8"/>
    </row>
    <row r="83" spans="1:26" ht="42" x14ac:dyDescent="0.15">
      <c r="A83" s="9">
        <v>82</v>
      </c>
      <c r="B83" s="9">
        <v>200</v>
      </c>
      <c r="C83" s="7" t="s">
        <v>36</v>
      </c>
      <c r="D83" s="7" t="s">
        <v>119</v>
      </c>
      <c r="E83" s="11">
        <v>11</v>
      </c>
      <c r="F83" s="11">
        <v>39.27711</v>
      </c>
      <c r="G83" s="11">
        <v>40.361449999999998</v>
      </c>
      <c r="H83" s="11">
        <v>0</v>
      </c>
      <c r="I83" s="11">
        <v>2854.3747000000399</v>
      </c>
      <c r="J83" s="13" t="s">
        <v>156</v>
      </c>
      <c r="K83" s="13" t="s">
        <v>157</v>
      </c>
      <c r="L83" s="13"/>
      <c r="M83" s="13"/>
      <c r="N83" s="13">
        <v>11</v>
      </c>
      <c r="O83" s="13"/>
      <c r="P83" s="13"/>
      <c r="Q83" s="13" t="s">
        <v>158</v>
      </c>
      <c r="R83" s="8"/>
    </row>
    <row r="84" spans="1:26" ht="42" x14ac:dyDescent="0.15">
      <c r="A84" s="9">
        <v>83</v>
      </c>
      <c r="B84" s="9">
        <v>164</v>
      </c>
      <c r="C84" s="7" t="s">
        <v>109</v>
      </c>
      <c r="D84" s="7" t="s">
        <v>120</v>
      </c>
      <c r="E84" s="11">
        <v>21</v>
      </c>
      <c r="F84" s="11">
        <v>90</v>
      </c>
      <c r="G84" s="11">
        <v>86.987949999999998</v>
      </c>
      <c r="H84" s="11">
        <v>0</v>
      </c>
      <c r="I84" s="11">
        <v>6284.7972999997401</v>
      </c>
      <c r="J84" s="13" t="s">
        <v>153</v>
      </c>
      <c r="K84" s="13" t="s">
        <v>151</v>
      </c>
      <c r="L84" s="13" t="s">
        <v>199</v>
      </c>
      <c r="M84" s="13" t="s">
        <v>150</v>
      </c>
      <c r="N84" s="13">
        <v>21</v>
      </c>
      <c r="O84" s="13">
        <v>21</v>
      </c>
      <c r="P84" s="13">
        <v>0</v>
      </c>
      <c r="Q84" s="13" t="s">
        <v>200</v>
      </c>
      <c r="R84" s="8" t="s">
        <v>179</v>
      </c>
    </row>
    <row r="85" spans="1:26" ht="56" x14ac:dyDescent="0.15">
      <c r="A85" s="9">
        <v>84</v>
      </c>
      <c r="B85" s="9">
        <v>193</v>
      </c>
      <c r="C85" s="7" t="s">
        <v>20</v>
      </c>
      <c r="D85" s="7" t="s">
        <v>121</v>
      </c>
      <c r="E85" s="11">
        <v>14</v>
      </c>
      <c r="F85" s="11">
        <v>74.09639</v>
      </c>
      <c r="G85" s="11">
        <v>74.21687</v>
      </c>
      <c r="H85" s="11">
        <v>0</v>
      </c>
      <c r="I85" s="11">
        <v>10699.877099999499</v>
      </c>
      <c r="J85" s="13" t="s">
        <v>153</v>
      </c>
      <c r="K85" s="13" t="s">
        <v>151</v>
      </c>
      <c r="L85" s="13" t="s">
        <v>201</v>
      </c>
      <c r="M85" s="13" t="s">
        <v>150</v>
      </c>
      <c r="N85" s="13">
        <v>14</v>
      </c>
      <c r="O85" s="13">
        <v>14</v>
      </c>
      <c r="P85" s="13">
        <v>0</v>
      </c>
      <c r="Q85" s="13" t="s">
        <v>202</v>
      </c>
      <c r="R85" s="8" t="s">
        <v>166</v>
      </c>
    </row>
    <row r="86" spans="1:26" ht="42" x14ac:dyDescent="0.15">
      <c r="A86" s="9">
        <v>85</v>
      </c>
      <c r="B86" s="9">
        <v>155</v>
      </c>
      <c r="C86" s="7" t="s">
        <v>24</v>
      </c>
      <c r="D86" s="7" t="s">
        <v>122</v>
      </c>
      <c r="E86" s="11">
        <v>10</v>
      </c>
      <c r="F86" s="11">
        <v>82.771079999999998</v>
      </c>
      <c r="G86" s="11">
        <v>36.144579999999998</v>
      </c>
      <c r="H86" s="11">
        <v>0</v>
      </c>
      <c r="I86" s="11">
        <v>7162.3437000000904</v>
      </c>
      <c r="J86" s="13" t="s">
        <v>156</v>
      </c>
      <c r="K86" s="13" t="s">
        <v>157</v>
      </c>
      <c r="L86" s="13"/>
      <c r="M86" s="13"/>
      <c r="N86" s="13">
        <v>10</v>
      </c>
      <c r="O86" s="13"/>
      <c r="P86" s="13"/>
      <c r="Q86" s="13" t="s">
        <v>158</v>
      </c>
      <c r="R86" s="8"/>
    </row>
    <row r="87" spans="1:26" ht="42" x14ac:dyDescent="0.15">
      <c r="A87" s="9">
        <v>86</v>
      </c>
      <c r="B87" s="9">
        <v>150</v>
      </c>
      <c r="C87" s="7" t="s">
        <v>24</v>
      </c>
      <c r="D87" s="7" t="s">
        <v>123</v>
      </c>
      <c r="E87" s="11">
        <v>19</v>
      </c>
      <c r="F87" s="11">
        <v>63.373489999999997</v>
      </c>
      <c r="G87" s="11">
        <v>59.27711</v>
      </c>
      <c r="H87" s="11">
        <v>0</v>
      </c>
      <c r="I87" s="11">
        <v>10137.3933000015</v>
      </c>
      <c r="J87" s="13" t="s">
        <v>156</v>
      </c>
      <c r="K87" s="13" t="s">
        <v>157</v>
      </c>
      <c r="L87" s="13"/>
      <c r="M87" s="13"/>
      <c r="N87" s="13">
        <v>19</v>
      </c>
      <c r="O87" s="13"/>
      <c r="P87" s="13"/>
      <c r="Q87" s="13" t="s">
        <v>158</v>
      </c>
      <c r="R87" s="8"/>
    </row>
    <row r="88" spans="1:26" ht="42" x14ac:dyDescent="0.15">
      <c r="A88" s="9">
        <v>87</v>
      </c>
      <c r="B88" s="9">
        <v>126</v>
      </c>
      <c r="C88" s="7" t="s">
        <v>57</v>
      </c>
      <c r="D88" s="7" t="s">
        <v>124</v>
      </c>
      <c r="E88" s="11">
        <v>20</v>
      </c>
      <c r="F88" s="11">
        <v>88.313249999999996</v>
      </c>
      <c r="G88" s="11">
        <v>50</v>
      </c>
      <c r="H88" s="11">
        <v>0</v>
      </c>
      <c r="I88" s="11">
        <v>7387.1647999999104</v>
      </c>
      <c r="J88" s="13" t="s">
        <v>156</v>
      </c>
      <c r="K88" s="13" t="s">
        <v>157</v>
      </c>
      <c r="L88" s="13"/>
      <c r="M88" s="13"/>
      <c r="N88" s="13">
        <v>20</v>
      </c>
      <c r="O88" s="13"/>
      <c r="P88" s="13"/>
      <c r="Q88" s="13" t="s">
        <v>158</v>
      </c>
      <c r="R88" s="8"/>
    </row>
    <row r="89" spans="1:26" ht="42" x14ac:dyDescent="0.15">
      <c r="A89" s="9">
        <v>88</v>
      </c>
      <c r="B89" s="9">
        <v>116</v>
      </c>
      <c r="C89" s="7" t="s">
        <v>30</v>
      </c>
      <c r="D89" s="7" t="s">
        <v>125</v>
      </c>
      <c r="E89" s="11">
        <v>14</v>
      </c>
      <c r="F89" s="11">
        <v>73.132530000000003</v>
      </c>
      <c r="G89" s="11">
        <v>74.578310000000002</v>
      </c>
      <c r="H89" s="11">
        <v>0</v>
      </c>
      <c r="I89" s="11">
        <v>6605.8128000008901</v>
      </c>
      <c r="J89" s="13" t="s">
        <v>156</v>
      </c>
      <c r="K89" s="13" t="s">
        <v>157</v>
      </c>
      <c r="L89" s="13"/>
      <c r="M89" s="13"/>
      <c r="N89" s="13">
        <v>14</v>
      </c>
      <c r="O89" s="13"/>
      <c r="P89" s="13"/>
      <c r="Q89" s="13" t="s">
        <v>158</v>
      </c>
      <c r="R89" s="8"/>
    </row>
    <row r="90" spans="1:26" ht="42" x14ac:dyDescent="0.15">
      <c r="A90" s="9">
        <v>89</v>
      </c>
      <c r="B90" s="9">
        <v>24</v>
      </c>
      <c r="C90" s="7" t="s">
        <v>34</v>
      </c>
      <c r="D90" s="7" t="s">
        <v>126</v>
      </c>
      <c r="E90" s="11">
        <v>16</v>
      </c>
      <c r="F90" s="11">
        <v>73.493979999999993</v>
      </c>
      <c r="G90" s="11">
        <v>74.09639</v>
      </c>
      <c r="H90" s="11">
        <v>0</v>
      </c>
      <c r="I90" s="11">
        <v>12319.921299998699</v>
      </c>
      <c r="J90" s="13" t="s">
        <v>156</v>
      </c>
      <c r="K90" s="13" t="s">
        <v>157</v>
      </c>
      <c r="L90" s="13"/>
      <c r="M90" s="13"/>
      <c r="N90" s="13">
        <v>16</v>
      </c>
      <c r="O90" s="13"/>
      <c r="P90" s="13"/>
      <c r="Q90" s="13" t="s">
        <v>158</v>
      </c>
      <c r="R90" s="8"/>
    </row>
    <row r="91" spans="1:26" ht="42" x14ac:dyDescent="0.15">
      <c r="A91" s="9">
        <v>90</v>
      </c>
      <c r="B91" s="9">
        <v>29</v>
      </c>
      <c r="C91" s="7" t="s">
        <v>34</v>
      </c>
      <c r="D91" s="7" t="s">
        <v>127</v>
      </c>
      <c r="E91" s="11">
        <v>10</v>
      </c>
      <c r="F91" s="11">
        <v>50</v>
      </c>
      <c r="G91" s="11">
        <v>50</v>
      </c>
      <c r="H91" s="11">
        <v>0</v>
      </c>
      <c r="I91" s="11">
        <v>5957.0026999996098</v>
      </c>
      <c r="J91" s="13" t="s">
        <v>156</v>
      </c>
      <c r="K91" s="13" t="s">
        <v>157</v>
      </c>
      <c r="L91" s="13"/>
      <c r="M91" s="13"/>
      <c r="N91" s="13">
        <v>10</v>
      </c>
      <c r="O91" s="13"/>
      <c r="P91" s="13"/>
      <c r="Q91" s="13" t="s">
        <v>158</v>
      </c>
      <c r="R91" s="8"/>
    </row>
    <row r="92" spans="1:26" ht="70" x14ac:dyDescent="0.15">
      <c r="A92" s="9">
        <v>91</v>
      </c>
      <c r="B92" s="9">
        <v>161</v>
      </c>
      <c r="C92" s="7" t="s">
        <v>128</v>
      </c>
      <c r="D92" s="7" t="s">
        <v>129</v>
      </c>
      <c r="E92" s="11">
        <v>19</v>
      </c>
      <c r="F92" s="11">
        <v>80</v>
      </c>
      <c r="G92" s="11">
        <v>63.253010000000003</v>
      </c>
      <c r="H92" s="11">
        <v>0</v>
      </c>
      <c r="I92" s="11">
        <v>7982.2930999994296</v>
      </c>
      <c r="J92" s="13" t="s">
        <v>153</v>
      </c>
      <c r="K92" s="13" t="s">
        <v>151</v>
      </c>
      <c r="L92" s="13" t="s">
        <v>203</v>
      </c>
      <c r="M92" s="13" t="s">
        <v>150</v>
      </c>
      <c r="N92" s="13">
        <v>19</v>
      </c>
      <c r="O92" s="13">
        <v>19</v>
      </c>
      <c r="P92" s="13">
        <v>0</v>
      </c>
      <c r="Q92" s="13" t="s">
        <v>204</v>
      </c>
      <c r="R92" s="8" t="s">
        <v>161</v>
      </c>
    </row>
    <row r="93" spans="1:26" ht="70" x14ac:dyDescent="0.15">
      <c r="A93" s="9">
        <v>92</v>
      </c>
      <c r="B93" s="9">
        <v>158</v>
      </c>
      <c r="C93" s="7" t="s">
        <v>128</v>
      </c>
      <c r="D93" s="7" t="s">
        <v>130</v>
      </c>
      <c r="E93" s="11">
        <v>19</v>
      </c>
      <c r="F93" s="11">
        <v>71.204819999999998</v>
      </c>
      <c r="G93" s="11">
        <v>71.686750000000004</v>
      </c>
      <c r="H93" s="11">
        <v>0</v>
      </c>
      <c r="I93" s="11">
        <v>8638.9349000009297</v>
      </c>
      <c r="J93" s="13" t="s">
        <v>153</v>
      </c>
      <c r="K93" s="13" t="s">
        <v>151</v>
      </c>
      <c r="L93" s="13" t="s">
        <v>205</v>
      </c>
      <c r="M93" s="13" t="s">
        <v>150</v>
      </c>
      <c r="N93" s="13">
        <v>19</v>
      </c>
      <c r="O93" s="13">
        <v>19</v>
      </c>
      <c r="P93" s="13">
        <v>0</v>
      </c>
      <c r="Q93" s="13" t="s">
        <v>206</v>
      </c>
      <c r="R93" s="8" t="s">
        <v>161</v>
      </c>
    </row>
    <row r="94" spans="1:26" ht="42" x14ac:dyDescent="0.15">
      <c r="A94" s="10">
        <v>93</v>
      </c>
      <c r="B94" s="10">
        <v>84</v>
      </c>
      <c r="C94" s="6" t="s">
        <v>97</v>
      </c>
      <c r="D94" s="6" t="s">
        <v>131</v>
      </c>
      <c r="E94" s="5">
        <v>4</v>
      </c>
      <c r="F94" s="5"/>
      <c r="G94" s="5"/>
      <c r="H94" s="5"/>
      <c r="I94" s="5"/>
      <c r="J94" s="14" t="s">
        <v>156</v>
      </c>
      <c r="K94" s="14" t="s">
        <v>157</v>
      </c>
      <c r="L94" s="14"/>
      <c r="M94" s="14"/>
      <c r="N94" s="14">
        <v>4</v>
      </c>
      <c r="O94" s="14"/>
      <c r="P94" s="14"/>
      <c r="Q94" s="14" t="s">
        <v>158</v>
      </c>
      <c r="R94" s="6"/>
      <c r="S94" s="1"/>
      <c r="T94" s="1"/>
      <c r="U94" s="1"/>
      <c r="V94" s="1"/>
      <c r="W94" s="1"/>
      <c r="X94" s="1"/>
      <c r="Y94" s="1"/>
      <c r="Z94" s="1"/>
    </row>
    <row r="95" spans="1:26" ht="42" x14ac:dyDescent="0.15">
      <c r="A95" s="10">
        <v>94</v>
      </c>
      <c r="B95" s="10">
        <v>109</v>
      </c>
      <c r="C95" s="6" t="s">
        <v>132</v>
      </c>
      <c r="D95" s="6" t="s">
        <v>133</v>
      </c>
      <c r="E95" s="5">
        <v>24</v>
      </c>
      <c r="F95" s="5"/>
      <c r="G95" s="5"/>
      <c r="H95" s="5"/>
      <c r="I95" s="5"/>
      <c r="J95" s="14" t="s">
        <v>156</v>
      </c>
      <c r="K95" s="14" t="s">
        <v>157</v>
      </c>
      <c r="L95" s="14"/>
      <c r="M95" s="14"/>
      <c r="N95" s="14">
        <v>24</v>
      </c>
      <c r="O95" s="14"/>
      <c r="P95" s="14"/>
      <c r="Q95" s="14" t="s">
        <v>158</v>
      </c>
      <c r="R95" s="6"/>
      <c r="S95" s="1"/>
      <c r="T95" s="1"/>
      <c r="U95" s="1"/>
      <c r="V95" s="1"/>
      <c r="W95" s="1"/>
      <c r="X95" s="1"/>
      <c r="Y95" s="1"/>
      <c r="Z95" s="1"/>
    </row>
    <row r="96" spans="1:26" ht="42" x14ac:dyDescent="0.15">
      <c r="A96" s="9">
        <v>95</v>
      </c>
      <c r="B96" s="9">
        <v>287</v>
      </c>
      <c r="C96" s="7" t="s">
        <v>38</v>
      </c>
      <c r="D96" s="7" t="s">
        <v>134</v>
      </c>
      <c r="E96" s="11">
        <v>10</v>
      </c>
      <c r="F96" s="11">
        <v>3.13253</v>
      </c>
      <c r="G96" s="11">
        <v>20.96386</v>
      </c>
      <c r="H96" s="11">
        <v>0</v>
      </c>
      <c r="I96" s="11">
        <v>6912.1928000010103</v>
      </c>
      <c r="J96" s="13" t="s">
        <v>156</v>
      </c>
      <c r="K96" s="13" t="s">
        <v>157</v>
      </c>
      <c r="L96" s="13"/>
      <c r="M96" s="13"/>
      <c r="N96" s="13">
        <v>10</v>
      </c>
      <c r="O96" s="13"/>
      <c r="P96" s="13"/>
      <c r="Q96" s="13" t="s">
        <v>158</v>
      </c>
      <c r="R96" s="8"/>
    </row>
    <row r="97" spans="1:26" ht="28" x14ac:dyDescent="0.15">
      <c r="A97" s="9">
        <v>96</v>
      </c>
      <c r="B97" s="9">
        <v>31</v>
      </c>
      <c r="C97" s="7" t="s">
        <v>41</v>
      </c>
      <c r="D97" s="7" t="s">
        <v>135</v>
      </c>
      <c r="E97" s="11">
        <v>9</v>
      </c>
      <c r="F97" s="11">
        <v>9.0361399999999996</v>
      </c>
      <c r="G97" s="11">
        <v>26.024100000000001</v>
      </c>
      <c r="H97" s="11">
        <v>0</v>
      </c>
      <c r="I97" s="11">
        <v>3164.49470000062</v>
      </c>
      <c r="J97" s="13" t="s">
        <v>164</v>
      </c>
      <c r="K97" s="13" t="s">
        <v>157</v>
      </c>
      <c r="L97" s="13" t="s">
        <v>207</v>
      </c>
      <c r="M97" s="13" t="s">
        <v>162</v>
      </c>
      <c r="N97" s="13">
        <v>9</v>
      </c>
      <c r="O97" s="13">
        <v>9</v>
      </c>
      <c r="P97" s="13">
        <v>0</v>
      </c>
      <c r="Q97" s="13" t="s">
        <v>208</v>
      </c>
      <c r="R97" s="8" t="s">
        <v>174</v>
      </c>
    </row>
    <row r="98" spans="1:26" ht="42" x14ac:dyDescent="0.15">
      <c r="A98" s="9">
        <v>97</v>
      </c>
      <c r="B98" s="9">
        <v>219</v>
      </c>
      <c r="C98" s="7" t="s">
        <v>11</v>
      </c>
      <c r="D98" s="7" t="s">
        <v>136</v>
      </c>
      <c r="E98" s="11">
        <v>20</v>
      </c>
      <c r="F98" s="11">
        <v>81.686750000000004</v>
      </c>
      <c r="G98" s="11">
        <v>70</v>
      </c>
      <c r="H98" s="11">
        <v>0</v>
      </c>
      <c r="I98" s="11">
        <v>2856.6639999998702</v>
      </c>
      <c r="J98" s="13" t="s">
        <v>156</v>
      </c>
      <c r="K98" s="13" t="s">
        <v>157</v>
      </c>
      <c r="L98" s="13"/>
      <c r="M98" s="13"/>
      <c r="N98" s="13">
        <v>20</v>
      </c>
      <c r="O98" s="13"/>
      <c r="P98" s="13"/>
      <c r="Q98" s="13" t="s">
        <v>158</v>
      </c>
      <c r="R98" s="8"/>
    </row>
    <row r="99" spans="1:26" ht="42" x14ac:dyDescent="0.15">
      <c r="A99" s="9">
        <v>98</v>
      </c>
      <c r="B99" s="9">
        <v>124</v>
      </c>
      <c r="C99" s="7" t="s">
        <v>57</v>
      </c>
      <c r="D99" s="7" t="s">
        <v>137</v>
      </c>
      <c r="E99" s="11">
        <v>18</v>
      </c>
      <c r="F99" s="11">
        <v>100</v>
      </c>
      <c r="G99" s="11">
        <v>85.662649999999999</v>
      </c>
      <c r="H99" s="11">
        <v>0</v>
      </c>
      <c r="I99" s="11">
        <v>5527.41540000029</v>
      </c>
      <c r="J99" s="13" t="s">
        <v>156</v>
      </c>
      <c r="K99" s="13" t="s">
        <v>157</v>
      </c>
      <c r="L99" s="13"/>
      <c r="M99" s="13"/>
      <c r="N99" s="13">
        <v>18</v>
      </c>
      <c r="O99" s="13"/>
      <c r="P99" s="13"/>
      <c r="Q99" s="13" t="s">
        <v>158</v>
      </c>
      <c r="R99" s="8"/>
    </row>
    <row r="100" spans="1:26" ht="42" x14ac:dyDescent="0.15">
      <c r="A100" s="10">
        <v>99</v>
      </c>
      <c r="B100" s="10">
        <v>162</v>
      </c>
      <c r="C100" s="6" t="s">
        <v>138</v>
      </c>
      <c r="D100" s="6" t="s">
        <v>139</v>
      </c>
      <c r="E100" s="5">
        <v>8</v>
      </c>
      <c r="F100" s="5"/>
      <c r="G100" s="5"/>
      <c r="H100" s="5"/>
      <c r="I100" s="5"/>
      <c r="J100" s="14" t="s">
        <v>156</v>
      </c>
      <c r="K100" s="14" t="s">
        <v>157</v>
      </c>
      <c r="L100" s="14"/>
      <c r="M100" s="14"/>
      <c r="N100" s="14">
        <v>8</v>
      </c>
      <c r="O100" s="14"/>
      <c r="P100" s="14"/>
      <c r="Q100" s="14" t="s">
        <v>158</v>
      </c>
      <c r="R100" s="6"/>
      <c r="S100" s="1"/>
      <c r="T100" s="1"/>
      <c r="U100" s="1"/>
      <c r="V100" s="1"/>
      <c r="W100" s="1"/>
      <c r="X100" s="1"/>
      <c r="Y100" s="1"/>
      <c r="Z100" s="1"/>
    </row>
    <row r="101" spans="1:26" ht="98" x14ac:dyDescent="0.15">
      <c r="A101" s="9">
        <v>100</v>
      </c>
      <c r="B101" s="9">
        <v>242</v>
      </c>
      <c r="C101" s="7" t="s">
        <v>9</v>
      </c>
      <c r="D101" s="7" t="s">
        <v>140</v>
      </c>
      <c r="E101" s="11">
        <v>12</v>
      </c>
      <c r="F101" s="11">
        <v>38.915660000000003</v>
      </c>
      <c r="G101" s="11">
        <v>50</v>
      </c>
      <c r="H101" s="11">
        <v>1</v>
      </c>
      <c r="I101" s="11">
        <v>9459.7607999974898</v>
      </c>
      <c r="J101" s="13" t="s">
        <v>164</v>
      </c>
      <c r="K101" s="13" t="s">
        <v>157</v>
      </c>
      <c r="L101" s="13" t="s">
        <v>209</v>
      </c>
      <c r="M101" s="13" t="s">
        <v>162</v>
      </c>
      <c r="N101" s="13">
        <v>12</v>
      </c>
      <c r="O101" s="13">
        <v>12</v>
      </c>
      <c r="P101" s="13">
        <v>0</v>
      </c>
      <c r="Q101" s="13" t="s">
        <v>210</v>
      </c>
      <c r="R101" s="8" t="s">
        <v>169</v>
      </c>
    </row>
  </sheetData>
  <conditionalFormatting sqref="J2:J101">
    <cfRule type="expression" dxfId="39" priority="1">
      <formula>$J2="Left"</formula>
    </cfRule>
    <cfRule type="expression" dxfId="38" priority="2">
      <formula>$J2="Extreme left"</formula>
    </cfRule>
    <cfRule type="expression" dxfId="37" priority="3">
      <formula>$J2="Right"</formula>
    </cfRule>
    <cfRule type="expression" dxfId="36" priority="4">
      <formula>$J2="Extreme right"</formula>
    </cfRule>
    <cfRule type="expression" dxfId="35" priority="5">
      <formula>$J2="Not clearly left/right"</formula>
    </cfRule>
    <cfRule type="expression" dxfId="34" priority="6">
      <formula>$J2="Not coded / excluded"</formula>
    </cfRule>
  </conditionalFormatting>
  <conditionalFormatting sqref="K2:K101">
    <cfRule type="containsText" dxfId="33" priority="7" operator="containsText" text="Yes"/>
  </conditionalFormatting>
  <dataValidations count="2">
    <dataValidation type="list" sqref="J2:J101" xr:uid="{00000000-0002-0000-0000-000000000000}">
      <formula1>"Left,Extreme left,Right,Extreme right,Not clearly left/right"</formula1>
    </dataValidation>
    <dataValidation type="list" sqref="K2:K101" xr:uid="{00000000-0002-0000-0000-000001000000}">
      <formula1>"Yes,No"</formula1>
    </dataValidation>
  </dataValidations>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44"/>
  <sheetViews>
    <sheetView workbookViewId="0"/>
  </sheetViews>
  <sheetFormatPr baseColWidth="10" defaultColWidth="8.83203125" defaultRowHeight="13" x14ac:dyDescent="0.15"/>
  <cols>
    <col min="1" max="1" width="9" customWidth="1"/>
    <col min="2" max="3" width="48" customWidth="1"/>
    <col min="4" max="4" width="70" customWidth="1"/>
    <col min="5" max="6" width="10" customWidth="1"/>
    <col min="7" max="7" width="24" customWidth="1"/>
    <col min="8" max="8" width="14" customWidth="1"/>
    <col min="9" max="9" width="72" customWidth="1"/>
    <col min="10" max="10" width="22" customWidth="1"/>
    <col min="11" max="13" width="14" customWidth="1"/>
    <col min="14" max="14" width="68" customWidth="1"/>
    <col min="15" max="15" width="70" customWidth="1"/>
  </cols>
  <sheetData>
    <row r="1" spans="1:15" ht="50.75" customHeight="1" x14ac:dyDescent="0.15">
      <c r="A1" s="2" t="s">
        <v>1</v>
      </c>
      <c r="B1" s="3" t="s">
        <v>211</v>
      </c>
      <c r="C1" s="3" t="s">
        <v>212</v>
      </c>
      <c r="D1" s="3" t="s">
        <v>3</v>
      </c>
      <c r="E1" s="3" t="s">
        <v>213</v>
      </c>
      <c r="F1" s="3" t="s">
        <v>4</v>
      </c>
      <c r="G1" s="3" t="s">
        <v>141</v>
      </c>
      <c r="H1" s="3" t="s">
        <v>142</v>
      </c>
      <c r="I1" s="3" t="s">
        <v>143</v>
      </c>
      <c r="J1" s="3" t="s">
        <v>144</v>
      </c>
      <c r="K1" s="3" t="s">
        <v>145</v>
      </c>
      <c r="L1" s="3" t="s">
        <v>146</v>
      </c>
      <c r="M1" s="3" t="s">
        <v>147</v>
      </c>
      <c r="N1" s="3" t="s">
        <v>214</v>
      </c>
      <c r="O1" s="4" t="s">
        <v>149</v>
      </c>
    </row>
    <row r="2" spans="1:15" ht="28" x14ac:dyDescent="0.15">
      <c r="A2" s="15" t="s">
        <v>215</v>
      </c>
      <c r="B2" s="8" t="s">
        <v>216</v>
      </c>
      <c r="C2" s="8" t="s">
        <v>70</v>
      </c>
      <c r="D2" s="8" t="s">
        <v>217</v>
      </c>
      <c r="E2" s="13" t="s">
        <v>218</v>
      </c>
      <c r="F2" s="13" t="s">
        <v>219</v>
      </c>
      <c r="G2" s="13" t="s">
        <v>220</v>
      </c>
      <c r="H2" s="13" t="s">
        <v>157</v>
      </c>
      <c r="I2" s="13"/>
      <c r="J2" s="13"/>
      <c r="K2" s="13">
        <v>27</v>
      </c>
      <c r="L2" s="13"/>
      <c r="M2" s="13"/>
      <c r="N2" s="8" t="s">
        <v>221</v>
      </c>
      <c r="O2" s="8"/>
    </row>
    <row r="3" spans="1:15" ht="28" x14ac:dyDescent="0.15">
      <c r="A3" s="15" t="s">
        <v>222</v>
      </c>
      <c r="B3" s="8" t="s">
        <v>216</v>
      </c>
      <c r="C3" s="8" t="s">
        <v>70</v>
      </c>
      <c r="D3" s="8" t="s">
        <v>71</v>
      </c>
      <c r="E3" s="13" t="s">
        <v>218</v>
      </c>
      <c r="F3" s="13" t="s">
        <v>223</v>
      </c>
      <c r="G3" s="13" t="s">
        <v>220</v>
      </c>
      <c r="H3" s="13" t="s">
        <v>157</v>
      </c>
      <c r="I3" s="13"/>
      <c r="J3" s="13"/>
      <c r="K3" s="13">
        <v>17</v>
      </c>
      <c r="L3" s="13"/>
      <c r="M3" s="13"/>
      <c r="N3" s="8" t="s">
        <v>221</v>
      </c>
      <c r="O3" s="8"/>
    </row>
    <row r="4" spans="1:15" ht="28" x14ac:dyDescent="0.15">
      <c r="A4" s="15" t="s">
        <v>224</v>
      </c>
      <c r="B4" s="8" t="s">
        <v>216</v>
      </c>
      <c r="C4" s="8" t="s">
        <v>70</v>
      </c>
      <c r="D4" s="8" t="s">
        <v>107</v>
      </c>
      <c r="E4" s="13" t="s">
        <v>218</v>
      </c>
      <c r="F4" s="13" t="s">
        <v>225</v>
      </c>
      <c r="G4" s="13" t="s">
        <v>220</v>
      </c>
      <c r="H4" s="13" t="s">
        <v>157</v>
      </c>
      <c r="I4" s="13"/>
      <c r="J4" s="13"/>
      <c r="K4" s="13">
        <v>18</v>
      </c>
      <c r="L4" s="13"/>
      <c r="M4" s="13"/>
      <c r="N4" s="8" t="s">
        <v>221</v>
      </c>
      <c r="O4" s="8"/>
    </row>
    <row r="5" spans="1:15" ht="28" x14ac:dyDescent="0.15">
      <c r="A5" s="15" t="s">
        <v>226</v>
      </c>
      <c r="B5" s="8" t="s">
        <v>216</v>
      </c>
      <c r="C5" s="8" t="s">
        <v>70</v>
      </c>
      <c r="D5" s="8" t="s">
        <v>227</v>
      </c>
      <c r="E5" s="13" t="s">
        <v>228</v>
      </c>
      <c r="F5" s="13" t="s">
        <v>229</v>
      </c>
      <c r="G5" s="13" t="s">
        <v>220</v>
      </c>
      <c r="H5" s="13" t="s">
        <v>157</v>
      </c>
      <c r="I5" s="13"/>
      <c r="J5" s="13"/>
      <c r="K5" s="13">
        <v>25</v>
      </c>
      <c r="L5" s="13"/>
      <c r="M5" s="13"/>
      <c r="N5" s="8" t="s">
        <v>221</v>
      </c>
      <c r="O5" s="8"/>
    </row>
    <row r="6" spans="1:15" ht="28" x14ac:dyDescent="0.15">
      <c r="A6" s="15" t="s">
        <v>230</v>
      </c>
      <c r="B6" s="8" t="s">
        <v>216</v>
      </c>
      <c r="C6" s="8" t="s">
        <v>70</v>
      </c>
      <c r="D6" s="8" t="s">
        <v>75</v>
      </c>
      <c r="E6" s="13" t="s">
        <v>228</v>
      </c>
      <c r="F6" s="13" t="s">
        <v>231</v>
      </c>
      <c r="G6" s="13" t="s">
        <v>220</v>
      </c>
      <c r="H6" s="13" t="s">
        <v>157</v>
      </c>
      <c r="I6" s="13"/>
      <c r="J6" s="13"/>
      <c r="K6" s="13">
        <v>6</v>
      </c>
      <c r="L6" s="13"/>
      <c r="M6" s="13"/>
      <c r="N6" s="8" t="s">
        <v>221</v>
      </c>
      <c r="O6" s="8"/>
    </row>
    <row r="7" spans="1:15" ht="28" x14ac:dyDescent="0.15">
      <c r="A7" s="15" t="s">
        <v>231</v>
      </c>
      <c r="B7" s="8" t="s">
        <v>216</v>
      </c>
      <c r="C7" s="8" t="s">
        <v>70</v>
      </c>
      <c r="D7" s="8" t="s">
        <v>232</v>
      </c>
      <c r="E7" s="13" t="s">
        <v>228</v>
      </c>
      <c r="F7" s="13" t="s">
        <v>233</v>
      </c>
      <c r="G7" s="13" t="s">
        <v>220</v>
      </c>
      <c r="H7" s="13" t="s">
        <v>157</v>
      </c>
      <c r="I7" s="13"/>
      <c r="J7" s="13"/>
      <c r="K7" s="13">
        <v>12</v>
      </c>
      <c r="L7" s="13"/>
      <c r="M7" s="13"/>
      <c r="N7" s="8" t="s">
        <v>221</v>
      </c>
      <c r="O7" s="8"/>
    </row>
    <row r="8" spans="1:15" ht="28" x14ac:dyDescent="0.15">
      <c r="A8" s="15" t="s">
        <v>234</v>
      </c>
      <c r="B8" s="8" t="s">
        <v>235</v>
      </c>
      <c r="C8" s="8" t="s">
        <v>89</v>
      </c>
      <c r="D8" s="8" t="s">
        <v>86</v>
      </c>
      <c r="E8" s="13" t="s">
        <v>218</v>
      </c>
      <c r="F8" s="13" t="s">
        <v>223</v>
      </c>
      <c r="G8" s="13" t="s">
        <v>220</v>
      </c>
      <c r="H8" s="13" t="s">
        <v>157</v>
      </c>
      <c r="I8" s="13"/>
      <c r="J8" s="13"/>
      <c r="K8" s="13">
        <v>17</v>
      </c>
      <c r="L8" s="13"/>
      <c r="M8" s="13"/>
      <c r="N8" s="8" t="s">
        <v>221</v>
      </c>
      <c r="O8" s="8"/>
    </row>
    <row r="9" spans="1:15" ht="28" x14ac:dyDescent="0.15">
      <c r="A9" s="15" t="s">
        <v>236</v>
      </c>
      <c r="B9" s="8" t="s">
        <v>235</v>
      </c>
      <c r="C9" s="8" t="s">
        <v>89</v>
      </c>
      <c r="D9" s="8" t="s">
        <v>237</v>
      </c>
      <c r="E9" s="13" t="s">
        <v>218</v>
      </c>
      <c r="F9" s="13" t="s">
        <v>234</v>
      </c>
      <c r="G9" s="13" t="s">
        <v>220</v>
      </c>
      <c r="H9" s="13" t="s">
        <v>157</v>
      </c>
      <c r="I9" s="13"/>
      <c r="J9" s="13"/>
      <c r="K9" s="13">
        <v>7</v>
      </c>
      <c r="L9" s="13"/>
      <c r="M9" s="13"/>
      <c r="N9" s="8" t="s">
        <v>221</v>
      </c>
      <c r="O9" s="8"/>
    </row>
    <row r="10" spans="1:15" ht="28" x14ac:dyDescent="0.15">
      <c r="A10" s="15" t="s">
        <v>238</v>
      </c>
      <c r="B10" s="8" t="s">
        <v>235</v>
      </c>
      <c r="C10" s="8" t="s">
        <v>89</v>
      </c>
      <c r="D10" s="8" t="s">
        <v>90</v>
      </c>
      <c r="E10" s="13" t="s">
        <v>218</v>
      </c>
      <c r="F10" s="13" t="s">
        <v>234</v>
      </c>
      <c r="G10" s="13" t="s">
        <v>220</v>
      </c>
      <c r="H10" s="13" t="s">
        <v>157</v>
      </c>
      <c r="I10" s="13"/>
      <c r="J10" s="13"/>
      <c r="K10" s="13">
        <v>7</v>
      </c>
      <c r="L10" s="13"/>
      <c r="M10" s="13"/>
      <c r="N10" s="8" t="s">
        <v>221</v>
      </c>
      <c r="O10" s="8"/>
    </row>
    <row r="11" spans="1:15" ht="28" x14ac:dyDescent="0.15">
      <c r="A11" s="15" t="s">
        <v>239</v>
      </c>
      <c r="B11" s="8" t="s">
        <v>235</v>
      </c>
      <c r="C11" s="8" t="s">
        <v>89</v>
      </c>
      <c r="D11" s="8" t="s">
        <v>52</v>
      </c>
      <c r="E11" s="13" t="s">
        <v>228</v>
      </c>
      <c r="F11" s="13" t="s">
        <v>240</v>
      </c>
      <c r="G11" s="13" t="s">
        <v>220</v>
      </c>
      <c r="H11" s="13" t="s">
        <v>157</v>
      </c>
      <c r="I11" s="13"/>
      <c r="J11" s="13"/>
      <c r="K11" s="13">
        <v>13</v>
      </c>
      <c r="L11" s="13"/>
      <c r="M11" s="13"/>
      <c r="N11" s="8" t="s">
        <v>221</v>
      </c>
      <c r="O11" s="8"/>
    </row>
    <row r="12" spans="1:15" ht="28" x14ac:dyDescent="0.15">
      <c r="A12" s="15" t="s">
        <v>241</v>
      </c>
      <c r="B12" s="8" t="s">
        <v>235</v>
      </c>
      <c r="C12" s="8" t="s">
        <v>89</v>
      </c>
      <c r="D12" s="8" t="s">
        <v>242</v>
      </c>
      <c r="E12" s="13" t="s">
        <v>228</v>
      </c>
      <c r="F12" s="13" t="s">
        <v>236</v>
      </c>
      <c r="G12" s="13" t="s">
        <v>220</v>
      </c>
      <c r="H12" s="13" t="s">
        <v>157</v>
      </c>
      <c r="I12" s="13"/>
      <c r="J12" s="13"/>
      <c r="K12" s="13">
        <v>8</v>
      </c>
      <c r="L12" s="13"/>
      <c r="M12" s="13"/>
      <c r="N12" s="8" t="s">
        <v>221</v>
      </c>
      <c r="O12" s="8"/>
    </row>
    <row r="13" spans="1:15" ht="28" x14ac:dyDescent="0.15">
      <c r="A13" s="15" t="s">
        <v>233</v>
      </c>
      <c r="B13" s="8" t="s">
        <v>235</v>
      </c>
      <c r="C13" s="8" t="s">
        <v>89</v>
      </c>
      <c r="D13" s="8" t="s">
        <v>243</v>
      </c>
      <c r="E13" s="13" t="s">
        <v>228</v>
      </c>
      <c r="F13" s="13" t="s">
        <v>244</v>
      </c>
      <c r="G13" s="13" t="s">
        <v>220</v>
      </c>
      <c r="H13" s="13" t="s">
        <v>157</v>
      </c>
      <c r="I13" s="13"/>
      <c r="J13" s="13"/>
      <c r="K13" s="13">
        <v>23</v>
      </c>
      <c r="L13" s="13"/>
      <c r="M13" s="13"/>
      <c r="N13" s="8" t="s">
        <v>221</v>
      </c>
      <c r="O13" s="8"/>
    </row>
    <row r="14" spans="1:15" ht="28" x14ac:dyDescent="0.15">
      <c r="A14" s="15" t="s">
        <v>240</v>
      </c>
      <c r="B14" s="8" t="s">
        <v>235</v>
      </c>
      <c r="C14" s="8" t="s">
        <v>89</v>
      </c>
      <c r="D14" s="8" t="s">
        <v>245</v>
      </c>
      <c r="E14" s="13" t="s">
        <v>228</v>
      </c>
      <c r="F14" s="13" t="s">
        <v>234</v>
      </c>
      <c r="G14" s="13" t="s">
        <v>220</v>
      </c>
      <c r="H14" s="13" t="s">
        <v>157</v>
      </c>
      <c r="I14" s="13"/>
      <c r="J14" s="13"/>
      <c r="K14" s="13">
        <v>7</v>
      </c>
      <c r="L14" s="13"/>
      <c r="M14" s="13"/>
      <c r="N14" s="8" t="s">
        <v>221</v>
      </c>
      <c r="O14" s="8"/>
    </row>
    <row r="15" spans="1:15" ht="28" x14ac:dyDescent="0.15">
      <c r="A15" s="15" t="s">
        <v>246</v>
      </c>
      <c r="B15" s="8" t="s">
        <v>247</v>
      </c>
      <c r="C15" s="8" t="s">
        <v>248</v>
      </c>
      <c r="D15" s="8" t="s">
        <v>96</v>
      </c>
      <c r="E15" s="13" t="s">
        <v>218</v>
      </c>
      <c r="F15" s="13" t="s">
        <v>249</v>
      </c>
      <c r="G15" s="13" t="s">
        <v>220</v>
      </c>
      <c r="H15" s="13" t="s">
        <v>157</v>
      </c>
      <c r="I15" s="13"/>
      <c r="J15" s="13"/>
      <c r="K15" s="13">
        <v>15</v>
      </c>
      <c r="L15" s="13"/>
      <c r="M15" s="13"/>
      <c r="N15" s="8" t="s">
        <v>221</v>
      </c>
      <c r="O15" s="8"/>
    </row>
    <row r="16" spans="1:15" ht="28" x14ac:dyDescent="0.15">
      <c r="A16" s="15" t="s">
        <v>249</v>
      </c>
      <c r="B16" s="8" t="s">
        <v>247</v>
      </c>
      <c r="C16" s="8" t="s">
        <v>248</v>
      </c>
      <c r="D16" s="8" t="s">
        <v>94</v>
      </c>
      <c r="E16" s="13" t="s">
        <v>218</v>
      </c>
      <c r="F16" s="13" t="s">
        <v>240</v>
      </c>
      <c r="G16" s="13" t="s">
        <v>220</v>
      </c>
      <c r="H16" s="13" t="s">
        <v>157</v>
      </c>
      <c r="I16" s="13"/>
      <c r="J16" s="13"/>
      <c r="K16" s="13">
        <v>13</v>
      </c>
      <c r="L16" s="13"/>
      <c r="M16" s="13"/>
      <c r="N16" s="8" t="s">
        <v>221</v>
      </c>
      <c r="O16" s="8"/>
    </row>
    <row r="17" spans="1:15" ht="28" x14ac:dyDescent="0.15">
      <c r="A17" s="15" t="s">
        <v>250</v>
      </c>
      <c r="B17" s="8" t="s">
        <v>247</v>
      </c>
      <c r="C17" s="8" t="s">
        <v>248</v>
      </c>
      <c r="D17" s="8" t="s">
        <v>49</v>
      </c>
      <c r="E17" s="13" t="s">
        <v>218</v>
      </c>
      <c r="F17" s="13" t="s">
        <v>251</v>
      </c>
      <c r="G17" s="13" t="s">
        <v>220</v>
      </c>
      <c r="H17" s="13" t="s">
        <v>157</v>
      </c>
      <c r="I17" s="13"/>
      <c r="J17" s="13"/>
      <c r="K17" s="13">
        <v>20</v>
      </c>
      <c r="L17" s="13"/>
      <c r="M17" s="13"/>
      <c r="N17" s="8" t="s">
        <v>221</v>
      </c>
      <c r="O17" s="8"/>
    </row>
    <row r="18" spans="1:15" ht="28" x14ac:dyDescent="0.15">
      <c r="A18" s="15" t="s">
        <v>223</v>
      </c>
      <c r="B18" s="8" t="s">
        <v>247</v>
      </c>
      <c r="C18" s="8" t="s">
        <v>248</v>
      </c>
      <c r="D18" s="8" t="s">
        <v>252</v>
      </c>
      <c r="E18" s="13" t="s">
        <v>218</v>
      </c>
      <c r="F18" s="13" t="s">
        <v>234</v>
      </c>
      <c r="G18" s="13" t="s">
        <v>220</v>
      </c>
      <c r="H18" s="13" t="s">
        <v>157</v>
      </c>
      <c r="I18" s="13"/>
      <c r="J18" s="13"/>
      <c r="K18" s="13">
        <v>7</v>
      </c>
      <c r="L18" s="13"/>
      <c r="M18" s="13"/>
      <c r="N18" s="8" t="s">
        <v>221</v>
      </c>
      <c r="O18" s="8"/>
    </row>
    <row r="19" spans="1:15" ht="28" x14ac:dyDescent="0.15">
      <c r="A19" s="15" t="s">
        <v>225</v>
      </c>
      <c r="B19" s="8" t="s">
        <v>247</v>
      </c>
      <c r="C19" s="8" t="s">
        <v>248</v>
      </c>
      <c r="D19" s="8" t="s">
        <v>12</v>
      </c>
      <c r="E19" s="13" t="s">
        <v>228</v>
      </c>
      <c r="F19" s="13" t="s">
        <v>251</v>
      </c>
      <c r="G19" s="13" t="s">
        <v>220</v>
      </c>
      <c r="H19" s="13" t="s">
        <v>157</v>
      </c>
      <c r="I19" s="13"/>
      <c r="J19" s="13"/>
      <c r="K19" s="13">
        <v>20</v>
      </c>
      <c r="L19" s="13"/>
      <c r="M19" s="13"/>
      <c r="N19" s="8" t="s">
        <v>221</v>
      </c>
      <c r="O19" s="8"/>
    </row>
    <row r="20" spans="1:15" ht="28" x14ac:dyDescent="0.15">
      <c r="A20" s="15" t="s">
        <v>253</v>
      </c>
      <c r="B20" s="8" t="s">
        <v>247</v>
      </c>
      <c r="C20" s="8" t="s">
        <v>248</v>
      </c>
      <c r="D20" s="8" t="s">
        <v>23</v>
      </c>
      <c r="E20" s="13" t="s">
        <v>228</v>
      </c>
      <c r="F20" s="13" t="s">
        <v>241</v>
      </c>
      <c r="G20" s="13" t="s">
        <v>220</v>
      </c>
      <c r="H20" s="13" t="s">
        <v>157</v>
      </c>
      <c r="I20" s="13"/>
      <c r="J20" s="13"/>
      <c r="K20" s="13">
        <v>11</v>
      </c>
      <c r="L20" s="13"/>
      <c r="M20" s="13"/>
      <c r="N20" s="8" t="s">
        <v>221</v>
      </c>
      <c r="O20" s="8"/>
    </row>
    <row r="21" spans="1:15" ht="28" x14ac:dyDescent="0.15">
      <c r="A21" s="15" t="s">
        <v>251</v>
      </c>
      <c r="B21" s="8" t="s">
        <v>247</v>
      </c>
      <c r="C21" s="8" t="s">
        <v>248</v>
      </c>
      <c r="D21" s="8" t="s">
        <v>254</v>
      </c>
      <c r="E21" s="13" t="s">
        <v>228</v>
      </c>
      <c r="F21" s="13" t="s">
        <v>236</v>
      </c>
      <c r="G21" s="13" t="s">
        <v>220</v>
      </c>
      <c r="H21" s="13" t="s">
        <v>157</v>
      </c>
      <c r="I21" s="13"/>
      <c r="J21" s="13"/>
      <c r="K21" s="13">
        <v>8</v>
      </c>
      <c r="L21" s="13"/>
      <c r="M21" s="13"/>
      <c r="N21" s="8" t="s">
        <v>221</v>
      </c>
      <c r="O21" s="8"/>
    </row>
    <row r="22" spans="1:15" ht="28" x14ac:dyDescent="0.15">
      <c r="A22" s="15" t="s">
        <v>255</v>
      </c>
      <c r="B22" s="8" t="s">
        <v>247</v>
      </c>
      <c r="C22" s="8" t="s">
        <v>248</v>
      </c>
      <c r="D22" s="8" t="s">
        <v>136</v>
      </c>
      <c r="E22" s="13" t="s">
        <v>228</v>
      </c>
      <c r="F22" s="13" t="s">
        <v>251</v>
      </c>
      <c r="G22" s="13" t="s">
        <v>220</v>
      </c>
      <c r="H22" s="13" t="s">
        <v>157</v>
      </c>
      <c r="I22" s="13"/>
      <c r="J22" s="13"/>
      <c r="K22" s="13">
        <v>20</v>
      </c>
      <c r="L22" s="13"/>
      <c r="M22" s="13"/>
      <c r="N22" s="8" t="s">
        <v>221</v>
      </c>
      <c r="O22" s="8"/>
    </row>
    <row r="23" spans="1:15" ht="28" x14ac:dyDescent="0.15">
      <c r="A23" s="15" t="s">
        <v>256</v>
      </c>
      <c r="B23" s="8" t="s">
        <v>257</v>
      </c>
      <c r="C23" s="8" t="s">
        <v>258</v>
      </c>
      <c r="D23" s="8" t="s">
        <v>130</v>
      </c>
      <c r="E23" s="13" t="s">
        <v>218</v>
      </c>
      <c r="F23" s="13" t="s">
        <v>253</v>
      </c>
      <c r="G23" s="13" t="s">
        <v>220</v>
      </c>
      <c r="H23" s="13" t="s">
        <v>157</v>
      </c>
      <c r="I23" s="13"/>
      <c r="J23" s="13"/>
      <c r="K23" s="13">
        <v>19</v>
      </c>
      <c r="L23" s="13"/>
      <c r="M23" s="13"/>
      <c r="N23" s="8" t="s">
        <v>221</v>
      </c>
      <c r="O23" s="8"/>
    </row>
    <row r="24" spans="1:15" ht="98" x14ac:dyDescent="0.15">
      <c r="A24" s="15" t="s">
        <v>244</v>
      </c>
      <c r="B24" s="8" t="s">
        <v>257</v>
      </c>
      <c r="C24" s="8" t="s">
        <v>258</v>
      </c>
      <c r="D24" s="8" t="s">
        <v>259</v>
      </c>
      <c r="E24" s="13" t="s">
        <v>218</v>
      </c>
      <c r="F24" s="13" t="s">
        <v>238</v>
      </c>
      <c r="G24" s="13" t="s">
        <v>162</v>
      </c>
      <c r="H24" s="13" t="s">
        <v>151</v>
      </c>
      <c r="I24" s="13" t="s">
        <v>260</v>
      </c>
      <c r="J24" s="13" t="s">
        <v>164</v>
      </c>
      <c r="K24" s="13">
        <v>9</v>
      </c>
      <c r="L24" s="13">
        <v>9</v>
      </c>
      <c r="M24" s="13">
        <v>0</v>
      </c>
      <c r="N24" s="8" t="s">
        <v>261</v>
      </c>
      <c r="O24" s="8" t="s">
        <v>169</v>
      </c>
    </row>
    <row r="25" spans="1:15" ht="98" x14ac:dyDescent="0.15">
      <c r="A25" s="15" t="s">
        <v>262</v>
      </c>
      <c r="B25" s="8" t="s">
        <v>257</v>
      </c>
      <c r="C25" s="8" t="s">
        <v>258</v>
      </c>
      <c r="D25" s="8" t="s">
        <v>263</v>
      </c>
      <c r="E25" s="13" t="s">
        <v>218</v>
      </c>
      <c r="F25" s="13" t="s">
        <v>233</v>
      </c>
      <c r="G25" s="13" t="s">
        <v>162</v>
      </c>
      <c r="H25" s="13" t="s">
        <v>151</v>
      </c>
      <c r="I25" s="13" t="s">
        <v>264</v>
      </c>
      <c r="J25" s="13" t="s">
        <v>164</v>
      </c>
      <c r="K25" s="13">
        <v>12</v>
      </c>
      <c r="L25" s="13">
        <v>12</v>
      </c>
      <c r="M25" s="13">
        <v>0</v>
      </c>
      <c r="N25" s="8" t="s">
        <v>265</v>
      </c>
      <c r="O25" s="8" t="s">
        <v>169</v>
      </c>
    </row>
    <row r="26" spans="1:15" ht="28" x14ac:dyDescent="0.15">
      <c r="A26" s="15" t="s">
        <v>229</v>
      </c>
      <c r="B26" s="8" t="s">
        <v>257</v>
      </c>
      <c r="C26" s="8" t="s">
        <v>258</v>
      </c>
      <c r="D26" s="8" t="s">
        <v>129</v>
      </c>
      <c r="E26" s="13" t="s">
        <v>228</v>
      </c>
      <c r="F26" s="13" t="s">
        <v>253</v>
      </c>
      <c r="G26" s="13" t="s">
        <v>220</v>
      </c>
      <c r="H26" s="13" t="s">
        <v>157</v>
      </c>
      <c r="I26" s="13"/>
      <c r="J26" s="13"/>
      <c r="K26" s="13">
        <v>19</v>
      </c>
      <c r="L26" s="13"/>
      <c r="M26" s="13"/>
      <c r="N26" s="8" t="s">
        <v>221</v>
      </c>
      <c r="O26" s="8"/>
    </row>
    <row r="27" spans="1:15" ht="28" x14ac:dyDescent="0.15">
      <c r="A27" s="15" t="s">
        <v>266</v>
      </c>
      <c r="B27" s="8" t="s">
        <v>257</v>
      </c>
      <c r="C27" s="8" t="s">
        <v>258</v>
      </c>
      <c r="D27" s="8" t="s">
        <v>267</v>
      </c>
      <c r="E27" s="13" t="s">
        <v>228</v>
      </c>
      <c r="F27" s="13" t="s">
        <v>240</v>
      </c>
      <c r="G27" s="13" t="s">
        <v>220</v>
      </c>
      <c r="H27" s="13" t="s">
        <v>157</v>
      </c>
      <c r="I27" s="13"/>
      <c r="J27" s="13"/>
      <c r="K27" s="13">
        <v>13</v>
      </c>
      <c r="L27" s="13"/>
      <c r="M27" s="13"/>
      <c r="N27" s="8" t="s">
        <v>221</v>
      </c>
      <c r="O27" s="8"/>
    </row>
    <row r="28" spans="1:15" ht="28" x14ac:dyDescent="0.15">
      <c r="A28" s="15" t="s">
        <v>219</v>
      </c>
      <c r="B28" s="8" t="s">
        <v>257</v>
      </c>
      <c r="C28" s="8" t="s">
        <v>258</v>
      </c>
      <c r="D28" s="8" t="s">
        <v>268</v>
      </c>
      <c r="E28" s="13" t="s">
        <v>228</v>
      </c>
      <c r="F28" s="13" t="s">
        <v>230</v>
      </c>
      <c r="G28" s="13" t="s">
        <v>220</v>
      </c>
      <c r="H28" s="13" t="s">
        <v>157</v>
      </c>
      <c r="I28" s="13"/>
      <c r="J28" s="13"/>
      <c r="K28" s="13">
        <v>5</v>
      </c>
      <c r="L28" s="13"/>
      <c r="M28" s="13"/>
      <c r="N28" s="8" t="s">
        <v>221</v>
      </c>
      <c r="O28" s="8"/>
    </row>
    <row r="29" spans="1:15" ht="28" x14ac:dyDescent="0.15">
      <c r="A29" s="15" t="s">
        <v>269</v>
      </c>
      <c r="B29" s="8" t="s">
        <v>270</v>
      </c>
      <c r="C29" s="8" t="s">
        <v>271</v>
      </c>
      <c r="D29" s="8" t="s">
        <v>120</v>
      </c>
      <c r="E29" s="13" t="s">
        <v>218</v>
      </c>
      <c r="F29" s="13" t="s">
        <v>255</v>
      </c>
      <c r="G29" s="13" t="s">
        <v>220</v>
      </c>
      <c r="H29" s="13" t="s">
        <v>157</v>
      </c>
      <c r="I29" s="13"/>
      <c r="J29" s="13"/>
      <c r="K29" s="13">
        <v>21</v>
      </c>
      <c r="L29" s="13"/>
      <c r="M29" s="13"/>
      <c r="N29" s="8" t="s">
        <v>221</v>
      </c>
      <c r="O29" s="8"/>
    </row>
    <row r="30" spans="1:15" ht="28" x14ac:dyDescent="0.15">
      <c r="A30" s="15" t="s">
        <v>272</v>
      </c>
      <c r="B30" s="8" t="s">
        <v>270</v>
      </c>
      <c r="C30" s="8" t="s">
        <v>271</v>
      </c>
      <c r="D30" s="8" t="s">
        <v>273</v>
      </c>
      <c r="E30" s="13" t="s">
        <v>218</v>
      </c>
      <c r="F30" s="13" t="s">
        <v>262</v>
      </c>
      <c r="G30" s="13" t="s">
        <v>220</v>
      </c>
      <c r="H30" s="13" t="s">
        <v>157</v>
      </c>
      <c r="I30" s="13"/>
      <c r="J30" s="13"/>
      <c r="K30" s="13">
        <v>24</v>
      </c>
      <c r="L30" s="13"/>
      <c r="M30" s="13"/>
      <c r="N30" s="8" t="s">
        <v>221</v>
      </c>
      <c r="O30" s="8"/>
    </row>
    <row r="31" spans="1:15" ht="28" x14ac:dyDescent="0.15">
      <c r="A31" s="15" t="s">
        <v>274</v>
      </c>
      <c r="B31" s="8" t="s">
        <v>270</v>
      </c>
      <c r="C31" s="8" t="s">
        <v>271</v>
      </c>
      <c r="D31" s="8" t="s">
        <v>110</v>
      </c>
      <c r="E31" s="13" t="s">
        <v>218</v>
      </c>
      <c r="F31" s="13" t="s">
        <v>249</v>
      </c>
      <c r="G31" s="13" t="s">
        <v>220</v>
      </c>
      <c r="H31" s="13" t="s">
        <v>157</v>
      </c>
      <c r="I31" s="13"/>
      <c r="J31" s="13"/>
      <c r="K31" s="13">
        <v>15</v>
      </c>
      <c r="L31" s="13"/>
      <c r="M31" s="13"/>
      <c r="N31" s="8" t="s">
        <v>221</v>
      </c>
      <c r="O31" s="8"/>
    </row>
    <row r="32" spans="1:15" ht="28" x14ac:dyDescent="0.15">
      <c r="A32" s="15" t="s">
        <v>275</v>
      </c>
      <c r="B32" s="8" t="s">
        <v>270</v>
      </c>
      <c r="C32" s="8" t="s">
        <v>271</v>
      </c>
      <c r="D32" s="8" t="s">
        <v>276</v>
      </c>
      <c r="E32" s="13" t="s">
        <v>228</v>
      </c>
      <c r="F32" s="13" t="s">
        <v>223</v>
      </c>
      <c r="G32" s="13" t="s">
        <v>220</v>
      </c>
      <c r="H32" s="13" t="s">
        <v>157</v>
      </c>
      <c r="I32" s="13"/>
      <c r="J32" s="13"/>
      <c r="K32" s="13">
        <v>17</v>
      </c>
      <c r="L32" s="13"/>
      <c r="M32" s="13"/>
      <c r="N32" s="8" t="s">
        <v>221</v>
      </c>
      <c r="O32" s="8"/>
    </row>
    <row r="33" spans="1:15" ht="42" x14ac:dyDescent="0.15">
      <c r="A33" s="15" t="s">
        <v>277</v>
      </c>
      <c r="B33" s="8" t="s">
        <v>270</v>
      </c>
      <c r="C33" s="8" t="s">
        <v>271</v>
      </c>
      <c r="D33" s="8" t="s">
        <v>278</v>
      </c>
      <c r="E33" s="13" t="s">
        <v>228</v>
      </c>
      <c r="F33" s="13" t="s">
        <v>249</v>
      </c>
      <c r="G33" s="13" t="s">
        <v>162</v>
      </c>
      <c r="H33" s="13" t="s">
        <v>151</v>
      </c>
      <c r="I33" s="13" t="s">
        <v>279</v>
      </c>
      <c r="J33" s="13" t="s">
        <v>164</v>
      </c>
      <c r="K33" s="13">
        <v>15</v>
      </c>
      <c r="L33" s="13">
        <v>15</v>
      </c>
      <c r="M33" s="13">
        <v>0</v>
      </c>
      <c r="N33" s="8" t="s">
        <v>280</v>
      </c>
      <c r="O33" s="8" t="s">
        <v>179</v>
      </c>
    </row>
    <row r="34" spans="1:15" ht="42" x14ac:dyDescent="0.15">
      <c r="A34" s="15" t="s">
        <v>281</v>
      </c>
      <c r="B34" s="8" t="s">
        <v>270</v>
      </c>
      <c r="C34" s="8" t="s">
        <v>271</v>
      </c>
      <c r="D34" s="8" t="s">
        <v>282</v>
      </c>
      <c r="E34" s="13" t="s">
        <v>228</v>
      </c>
      <c r="F34" s="13" t="s">
        <v>233</v>
      </c>
      <c r="G34" s="13" t="s">
        <v>162</v>
      </c>
      <c r="H34" s="13" t="s">
        <v>151</v>
      </c>
      <c r="I34" s="13" t="s">
        <v>283</v>
      </c>
      <c r="J34" s="13" t="s">
        <v>164</v>
      </c>
      <c r="K34" s="13">
        <v>12</v>
      </c>
      <c r="L34" s="13">
        <v>12</v>
      </c>
      <c r="M34" s="13">
        <v>0</v>
      </c>
      <c r="N34" s="8" t="s">
        <v>284</v>
      </c>
      <c r="O34" s="8" t="s">
        <v>179</v>
      </c>
    </row>
    <row r="35" spans="1:15" ht="42" x14ac:dyDescent="0.15">
      <c r="A35" s="15" t="s">
        <v>285</v>
      </c>
      <c r="B35" s="8" t="s">
        <v>286</v>
      </c>
      <c r="C35" s="8" t="s">
        <v>287</v>
      </c>
      <c r="D35" s="8" t="s">
        <v>288</v>
      </c>
      <c r="E35" s="13" t="s">
        <v>218</v>
      </c>
      <c r="F35" s="13" t="s">
        <v>233</v>
      </c>
      <c r="G35" s="13" t="s">
        <v>164</v>
      </c>
      <c r="H35" s="13" t="s">
        <v>151</v>
      </c>
      <c r="I35" s="13" t="s">
        <v>289</v>
      </c>
      <c r="J35" s="13" t="s">
        <v>162</v>
      </c>
      <c r="K35" s="13">
        <v>12</v>
      </c>
      <c r="L35" s="13">
        <v>12</v>
      </c>
      <c r="M35" s="13">
        <v>0</v>
      </c>
      <c r="N35" s="8" t="s">
        <v>290</v>
      </c>
      <c r="O35" s="8" t="s">
        <v>179</v>
      </c>
    </row>
    <row r="36" spans="1:15" ht="28" x14ac:dyDescent="0.15">
      <c r="A36" s="15" t="s">
        <v>291</v>
      </c>
      <c r="B36" s="8" t="s">
        <v>286</v>
      </c>
      <c r="C36" s="8" t="s">
        <v>287</v>
      </c>
      <c r="D36" s="8" t="s">
        <v>292</v>
      </c>
      <c r="E36" s="13" t="s">
        <v>218</v>
      </c>
      <c r="F36" s="13" t="s">
        <v>241</v>
      </c>
      <c r="G36" s="13" t="s">
        <v>220</v>
      </c>
      <c r="H36" s="13" t="s">
        <v>157</v>
      </c>
      <c r="I36" s="13"/>
      <c r="J36" s="13"/>
      <c r="K36" s="13">
        <v>11</v>
      </c>
      <c r="L36" s="13"/>
      <c r="M36" s="13"/>
      <c r="N36" s="8" t="s">
        <v>221</v>
      </c>
      <c r="O36" s="8"/>
    </row>
    <row r="37" spans="1:15" ht="42" x14ac:dyDescent="0.15">
      <c r="A37" s="15" t="s">
        <v>293</v>
      </c>
      <c r="B37" s="8" t="s">
        <v>286</v>
      </c>
      <c r="C37" s="8" t="s">
        <v>287</v>
      </c>
      <c r="D37" s="8" t="s">
        <v>294</v>
      </c>
      <c r="E37" s="13" t="s">
        <v>218</v>
      </c>
      <c r="F37" s="13" t="s">
        <v>275</v>
      </c>
      <c r="G37" s="13" t="s">
        <v>220</v>
      </c>
      <c r="H37" s="13" t="s">
        <v>157</v>
      </c>
      <c r="I37" s="13"/>
      <c r="J37" s="13"/>
      <c r="K37" s="13">
        <v>31</v>
      </c>
      <c r="L37" s="13"/>
      <c r="M37" s="13"/>
      <c r="N37" s="8" t="s">
        <v>221</v>
      </c>
      <c r="O37" s="8"/>
    </row>
    <row r="38" spans="1:15" ht="42" x14ac:dyDescent="0.15">
      <c r="A38" s="15" t="s">
        <v>295</v>
      </c>
      <c r="B38" s="8" t="s">
        <v>286</v>
      </c>
      <c r="C38" s="8" t="s">
        <v>287</v>
      </c>
      <c r="D38" s="8" t="s">
        <v>296</v>
      </c>
      <c r="E38" s="13" t="s">
        <v>218</v>
      </c>
      <c r="F38" s="13" t="s">
        <v>241</v>
      </c>
      <c r="G38" s="13" t="s">
        <v>164</v>
      </c>
      <c r="H38" s="13" t="s">
        <v>151</v>
      </c>
      <c r="I38" s="13" t="s">
        <v>297</v>
      </c>
      <c r="J38" s="13" t="s">
        <v>162</v>
      </c>
      <c r="K38" s="13">
        <v>11</v>
      </c>
      <c r="L38" s="13">
        <v>11</v>
      </c>
      <c r="M38" s="13">
        <v>0</v>
      </c>
      <c r="N38" s="8" t="s">
        <v>298</v>
      </c>
      <c r="O38" s="8" t="s">
        <v>179</v>
      </c>
    </row>
    <row r="39" spans="1:15" ht="28" x14ac:dyDescent="0.15">
      <c r="A39" s="15" t="s">
        <v>299</v>
      </c>
      <c r="B39" s="8" t="s">
        <v>286</v>
      </c>
      <c r="C39" s="8" t="s">
        <v>287</v>
      </c>
      <c r="D39" s="8" t="s">
        <v>300</v>
      </c>
      <c r="E39" s="13" t="s">
        <v>228</v>
      </c>
      <c r="F39" s="13" t="s">
        <v>249</v>
      </c>
      <c r="G39" s="13" t="s">
        <v>220</v>
      </c>
      <c r="H39" s="13" t="s">
        <v>157</v>
      </c>
      <c r="I39" s="13"/>
      <c r="J39" s="13"/>
      <c r="K39" s="13">
        <v>15</v>
      </c>
      <c r="L39" s="13"/>
      <c r="M39" s="13"/>
      <c r="N39" s="8" t="s">
        <v>221</v>
      </c>
      <c r="O39" s="8"/>
    </row>
    <row r="40" spans="1:15" ht="28" x14ac:dyDescent="0.15">
      <c r="A40" s="15" t="s">
        <v>301</v>
      </c>
      <c r="B40" s="8" t="s">
        <v>286</v>
      </c>
      <c r="C40" s="8" t="s">
        <v>287</v>
      </c>
      <c r="D40" s="8" t="s">
        <v>302</v>
      </c>
      <c r="E40" s="13" t="s">
        <v>228</v>
      </c>
      <c r="F40" s="13" t="s">
        <v>249</v>
      </c>
      <c r="G40" s="13" t="s">
        <v>220</v>
      </c>
      <c r="H40" s="13" t="s">
        <v>157</v>
      </c>
      <c r="I40" s="13"/>
      <c r="J40" s="13"/>
      <c r="K40" s="13">
        <v>15</v>
      </c>
      <c r="L40" s="13"/>
      <c r="M40" s="13"/>
      <c r="N40" s="8" t="s">
        <v>221</v>
      </c>
      <c r="O40" s="8"/>
    </row>
    <row r="41" spans="1:15" ht="28" x14ac:dyDescent="0.15">
      <c r="A41" s="15" t="s">
        <v>303</v>
      </c>
      <c r="B41" s="8" t="s">
        <v>286</v>
      </c>
      <c r="C41" s="8" t="s">
        <v>287</v>
      </c>
      <c r="D41" s="8" t="s">
        <v>55</v>
      </c>
      <c r="E41" s="13" t="s">
        <v>228</v>
      </c>
      <c r="F41" s="13" t="s">
        <v>223</v>
      </c>
      <c r="G41" s="13" t="s">
        <v>220</v>
      </c>
      <c r="H41" s="13" t="s">
        <v>157</v>
      </c>
      <c r="I41" s="13"/>
      <c r="J41" s="13"/>
      <c r="K41" s="13">
        <v>17</v>
      </c>
      <c r="L41" s="13"/>
      <c r="M41" s="13"/>
      <c r="N41" s="8" t="s">
        <v>221</v>
      </c>
      <c r="O41" s="8"/>
    </row>
    <row r="42" spans="1:15" ht="28" x14ac:dyDescent="0.15">
      <c r="A42" s="15" t="s">
        <v>304</v>
      </c>
      <c r="B42" s="8" t="s">
        <v>305</v>
      </c>
      <c r="C42" s="8" t="s">
        <v>306</v>
      </c>
      <c r="D42" s="8" t="s">
        <v>307</v>
      </c>
      <c r="E42" s="13" t="s">
        <v>218</v>
      </c>
      <c r="F42" s="13" t="s">
        <v>239</v>
      </c>
      <c r="G42" s="13" t="s">
        <v>220</v>
      </c>
      <c r="H42" s="13" t="s">
        <v>157</v>
      </c>
      <c r="I42" s="13"/>
      <c r="J42" s="13"/>
      <c r="K42" s="13">
        <v>10</v>
      </c>
      <c r="L42" s="13"/>
      <c r="M42" s="13"/>
      <c r="N42" s="8" t="s">
        <v>221</v>
      </c>
      <c r="O42" s="8"/>
    </row>
    <row r="43" spans="1:15" ht="28" x14ac:dyDescent="0.15">
      <c r="A43" s="15" t="s">
        <v>308</v>
      </c>
      <c r="B43" s="8" t="s">
        <v>305</v>
      </c>
      <c r="C43" s="8" t="s">
        <v>306</v>
      </c>
      <c r="D43" s="8" t="s">
        <v>135</v>
      </c>
      <c r="E43" s="13" t="s">
        <v>218</v>
      </c>
      <c r="F43" s="13" t="s">
        <v>238</v>
      </c>
      <c r="G43" s="13" t="s">
        <v>220</v>
      </c>
      <c r="H43" s="13" t="s">
        <v>157</v>
      </c>
      <c r="I43" s="13"/>
      <c r="J43" s="13"/>
      <c r="K43" s="13">
        <v>9</v>
      </c>
      <c r="L43" s="13"/>
      <c r="M43" s="13"/>
      <c r="N43" s="8" t="s">
        <v>221</v>
      </c>
      <c r="O43" s="8"/>
    </row>
    <row r="44" spans="1:15" ht="56" x14ac:dyDescent="0.15">
      <c r="A44" s="15" t="s">
        <v>309</v>
      </c>
      <c r="B44" s="8" t="s">
        <v>305</v>
      </c>
      <c r="C44" s="8" t="s">
        <v>306</v>
      </c>
      <c r="D44" s="8" t="s">
        <v>310</v>
      </c>
      <c r="E44" s="13" t="s">
        <v>218</v>
      </c>
      <c r="F44" s="13" t="s">
        <v>311</v>
      </c>
      <c r="G44" s="13" t="s">
        <v>220</v>
      </c>
      <c r="H44" s="13" t="s">
        <v>157</v>
      </c>
      <c r="I44" s="13"/>
      <c r="J44" s="13"/>
      <c r="K44" s="13">
        <v>47</v>
      </c>
      <c r="L44" s="13"/>
      <c r="M44" s="13"/>
      <c r="N44" s="8" t="s">
        <v>221</v>
      </c>
      <c r="O44" s="8"/>
    </row>
    <row r="45" spans="1:15" ht="70" x14ac:dyDescent="0.15">
      <c r="A45" s="15" t="s">
        <v>312</v>
      </c>
      <c r="B45" s="8" t="s">
        <v>305</v>
      </c>
      <c r="C45" s="8" t="s">
        <v>306</v>
      </c>
      <c r="D45" s="8" t="s">
        <v>313</v>
      </c>
      <c r="E45" s="13" t="s">
        <v>218</v>
      </c>
      <c r="F45" s="13" t="s">
        <v>314</v>
      </c>
      <c r="G45" s="13" t="s">
        <v>220</v>
      </c>
      <c r="H45" s="13" t="s">
        <v>157</v>
      </c>
      <c r="I45" s="13"/>
      <c r="J45" s="13"/>
      <c r="K45" s="13">
        <v>58</v>
      </c>
      <c r="L45" s="13"/>
      <c r="M45" s="13"/>
      <c r="N45" s="8" t="s">
        <v>221</v>
      </c>
      <c r="O45" s="8"/>
    </row>
    <row r="46" spans="1:15" ht="42" x14ac:dyDescent="0.15">
      <c r="A46" s="15" t="s">
        <v>315</v>
      </c>
      <c r="B46" s="8" t="s">
        <v>305</v>
      </c>
      <c r="C46" s="8" t="s">
        <v>306</v>
      </c>
      <c r="D46" s="8" t="s">
        <v>316</v>
      </c>
      <c r="E46" s="13" t="s">
        <v>218</v>
      </c>
      <c r="F46" s="13" t="s">
        <v>277</v>
      </c>
      <c r="G46" s="13" t="s">
        <v>220</v>
      </c>
      <c r="H46" s="13" t="s">
        <v>157</v>
      </c>
      <c r="I46" s="13"/>
      <c r="J46" s="13"/>
      <c r="K46" s="13">
        <v>32</v>
      </c>
      <c r="L46" s="13"/>
      <c r="M46" s="13"/>
      <c r="N46" s="8" t="s">
        <v>221</v>
      </c>
      <c r="O46" s="8"/>
    </row>
    <row r="47" spans="1:15" ht="28" x14ac:dyDescent="0.15">
      <c r="A47" s="15" t="s">
        <v>317</v>
      </c>
      <c r="B47" s="8" t="s">
        <v>305</v>
      </c>
      <c r="C47" s="8" t="s">
        <v>306</v>
      </c>
      <c r="D47" s="8" t="s">
        <v>318</v>
      </c>
      <c r="E47" s="13" t="s">
        <v>218</v>
      </c>
      <c r="F47" s="13" t="s">
        <v>255</v>
      </c>
      <c r="G47" s="13" t="s">
        <v>220</v>
      </c>
      <c r="H47" s="13" t="s">
        <v>157</v>
      </c>
      <c r="I47" s="13"/>
      <c r="J47" s="13"/>
      <c r="K47" s="13">
        <v>21</v>
      </c>
      <c r="L47" s="13"/>
      <c r="M47" s="13"/>
      <c r="N47" s="8" t="s">
        <v>221</v>
      </c>
      <c r="O47" s="8"/>
    </row>
    <row r="48" spans="1:15" ht="42" x14ac:dyDescent="0.15">
      <c r="A48" s="15" t="s">
        <v>311</v>
      </c>
      <c r="B48" s="8" t="s">
        <v>305</v>
      </c>
      <c r="C48" s="8" t="s">
        <v>306</v>
      </c>
      <c r="D48" s="8" t="s">
        <v>319</v>
      </c>
      <c r="E48" s="13" t="s">
        <v>218</v>
      </c>
      <c r="F48" s="13" t="s">
        <v>312</v>
      </c>
      <c r="G48" s="13" t="s">
        <v>220</v>
      </c>
      <c r="H48" s="13" t="s">
        <v>157</v>
      </c>
      <c r="I48" s="13"/>
      <c r="J48" s="13"/>
      <c r="K48" s="13">
        <v>44</v>
      </c>
      <c r="L48" s="13"/>
      <c r="M48" s="13"/>
      <c r="N48" s="8" t="s">
        <v>221</v>
      </c>
      <c r="O48" s="8"/>
    </row>
    <row r="49" spans="1:15" ht="28" x14ac:dyDescent="0.15">
      <c r="A49" s="15" t="s">
        <v>320</v>
      </c>
      <c r="B49" s="8" t="s">
        <v>305</v>
      </c>
      <c r="C49" s="8" t="s">
        <v>306</v>
      </c>
      <c r="D49" s="8" t="s">
        <v>42</v>
      </c>
      <c r="E49" s="13" t="s">
        <v>218</v>
      </c>
      <c r="F49" s="13" t="s">
        <v>246</v>
      </c>
      <c r="G49" s="13" t="s">
        <v>220</v>
      </c>
      <c r="H49" s="13" t="s">
        <v>157</v>
      </c>
      <c r="I49" s="13"/>
      <c r="J49" s="13"/>
      <c r="K49" s="13">
        <v>14</v>
      </c>
      <c r="L49" s="13"/>
      <c r="M49" s="13"/>
      <c r="N49" s="8" t="s">
        <v>221</v>
      </c>
      <c r="O49" s="8"/>
    </row>
    <row r="50" spans="1:15" ht="28" x14ac:dyDescent="0.15">
      <c r="A50" s="15" t="s">
        <v>321</v>
      </c>
      <c r="B50" s="8" t="s">
        <v>305</v>
      </c>
      <c r="C50" s="8" t="s">
        <v>306</v>
      </c>
      <c r="D50" s="8" t="s">
        <v>322</v>
      </c>
      <c r="E50" s="13" t="s">
        <v>228</v>
      </c>
      <c r="F50" s="13" t="s">
        <v>239</v>
      </c>
      <c r="G50" s="13" t="s">
        <v>220</v>
      </c>
      <c r="H50" s="13" t="s">
        <v>157</v>
      </c>
      <c r="I50" s="13"/>
      <c r="J50" s="13"/>
      <c r="K50" s="13">
        <v>10</v>
      </c>
      <c r="L50" s="13"/>
      <c r="M50" s="13"/>
      <c r="N50" s="8" t="s">
        <v>221</v>
      </c>
      <c r="O50" s="8"/>
    </row>
    <row r="51" spans="1:15" ht="28" x14ac:dyDescent="0.15">
      <c r="A51" s="15" t="s">
        <v>323</v>
      </c>
      <c r="B51" s="8" t="s">
        <v>305</v>
      </c>
      <c r="C51" s="8" t="s">
        <v>306</v>
      </c>
      <c r="D51" s="8" t="s">
        <v>324</v>
      </c>
      <c r="E51" s="13" t="s">
        <v>228</v>
      </c>
      <c r="F51" s="13" t="s">
        <v>236</v>
      </c>
      <c r="G51" s="13" t="s">
        <v>153</v>
      </c>
      <c r="H51" s="13" t="s">
        <v>157</v>
      </c>
      <c r="I51" s="13" t="s">
        <v>325</v>
      </c>
      <c r="J51" s="13" t="s">
        <v>150</v>
      </c>
      <c r="K51" s="13">
        <v>8</v>
      </c>
      <c r="L51" s="13">
        <v>8</v>
      </c>
      <c r="M51" s="13">
        <v>0</v>
      </c>
      <c r="N51" s="8" t="s">
        <v>326</v>
      </c>
      <c r="O51" s="8" t="s">
        <v>174</v>
      </c>
    </row>
    <row r="52" spans="1:15" ht="28" x14ac:dyDescent="0.15">
      <c r="A52" s="15" t="s">
        <v>327</v>
      </c>
      <c r="B52" s="8" t="s">
        <v>305</v>
      </c>
      <c r="C52" s="8" t="s">
        <v>306</v>
      </c>
      <c r="D52" s="8" t="s">
        <v>328</v>
      </c>
      <c r="E52" s="13" t="s">
        <v>228</v>
      </c>
      <c r="F52" s="13" t="s">
        <v>231</v>
      </c>
      <c r="G52" s="13" t="s">
        <v>153</v>
      </c>
      <c r="H52" s="13" t="s">
        <v>157</v>
      </c>
      <c r="I52" s="13" t="s">
        <v>329</v>
      </c>
      <c r="J52" s="13" t="s">
        <v>150</v>
      </c>
      <c r="K52" s="13">
        <v>6</v>
      </c>
      <c r="L52" s="13">
        <v>6</v>
      </c>
      <c r="M52" s="13">
        <v>0</v>
      </c>
      <c r="N52" s="8" t="s">
        <v>326</v>
      </c>
      <c r="O52" s="8" t="s">
        <v>174</v>
      </c>
    </row>
    <row r="53" spans="1:15" ht="56" x14ac:dyDescent="0.15">
      <c r="A53" s="15" t="s">
        <v>330</v>
      </c>
      <c r="B53" s="8" t="s">
        <v>305</v>
      </c>
      <c r="C53" s="8" t="s">
        <v>306</v>
      </c>
      <c r="D53" s="8" t="s">
        <v>331</v>
      </c>
      <c r="E53" s="13" t="s">
        <v>228</v>
      </c>
      <c r="F53" s="13" t="s">
        <v>295</v>
      </c>
      <c r="G53" s="13" t="s">
        <v>220</v>
      </c>
      <c r="H53" s="13" t="s">
        <v>157</v>
      </c>
      <c r="I53" s="13"/>
      <c r="J53" s="13"/>
      <c r="K53" s="13">
        <v>37</v>
      </c>
      <c r="L53" s="13"/>
      <c r="M53" s="13"/>
      <c r="N53" s="8" t="s">
        <v>221</v>
      </c>
      <c r="O53" s="8"/>
    </row>
    <row r="54" spans="1:15" ht="56" x14ac:dyDescent="0.15">
      <c r="A54" s="15" t="s">
        <v>332</v>
      </c>
      <c r="B54" s="8" t="s">
        <v>305</v>
      </c>
      <c r="C54" s="8" t="s">
        <v>306</v>
      </c>
      <c r="D54" s="8" t="s">
        <v>333</v>
      </c>
      <c r="E54" s="13" t="s">
        <v>228</v>
      </c>
      <c r="F54" s="13" t="s">
        <v>301</v>
      </c>
      <c r="G54" s="13" t="s">
        <v>220</v>
      </c>
      <c r="H54" s="13" t="s">
        <v>157</v>
      </c>
      <c r="I54" s="13"/>
      <c r="J54" s="13"/>
      <c r="K54" s="13">
        <v>39</v>
      </c>
      <c r="L54" s="13"/>
      <c r="M54" s="13"/>
      <c r="N54" s="8" t="s">
        <v>221</v>
      </c>
      <c r="O54" s="8"/>
    </row>
    <row r="55" spans="1:15" ht="28" x14ac:dyDescent="0.15">
      <c r="A55" s="15" t="s">
        <v>334</v>
      </c>
      <c r="B55" s="8" t="s">
        <v>305</v>
      </c>
      <c r="C55" s="8" t="s">
        <v>306</v>
      </c>
      <c r="D55" s="8" t="s">
        <v>335</v>
      </c>
      <c r="E55" s="13" t="s">
        <v>228</v>
      </c>
      <c r="F55" s="13" t="s">
        <v>234</v>
      </c>
      <c r="G55" s="13" t="s">
        <v>220</v>
      </c>
      <c r="H55" s="13" t="s">
        <v>157</v>
      </c>
      <c r="I55" s="13"/>
      <c r="J55" s="13"/>
      <c r="K55" s="13">
        <v>7</v>
      </c>
      <c r="L55" s="13"/>
      <c r="M55" s="13"/>
      <c r="N55" s="8" t="s">
        <v>221</v>
      </c>
      <c r="O55" s="8"/>
    </row>
    <row r="56" spans="1:15" ht="70" x14ac:dyDescent="0.15">
      <c r="A56" s="15" t="s">
        <v>336</v>
      </c>
      <c r="B56" s="8" t="s">
        <v>305</v>
      </c>
      <c r="C56" s="8" t="s">
        <v>306</v>
      </c>
      <c r="D56" s="8" t="s">
        <v>337</v>
      </c>
      <c r="E56" s="13" t="s">
        <v>228</v>
      </c>
      <c r="F56" s="13" t="s">
        <v>314</v>
      </c>
      <c r="G56" s="13" t="s">
        <v>220</v>
      </c>
      <c r="H56" s="13" t="s">
        <v>157</v>
      </c>
      <c r="I56" s="13"/>
      <c r="J56" s="13"/>
      <c r="K56" s="13">
        <v>58</v>
      </c>
      <c r="L56" s="13"/>
      <c r="M56" s="13"/>
      <c r="N56" s="8" t="s">
        <v>221</v>
      </c>
      <c r="O56" s="8"/>
    </row>
    <row r="57" spans="1:15" ht="28" x14ac:dyDescent="0.15">
      <c r="A57" s="15" t="s">
        <v>338</v>
      </c>
      <c r="B57" s="8" t="s">
        <v>339</v>
      </c>
      <c r="C57" s="8" t="s">
        <v>114</v>
      </c>
      <c r="D57" s="8" t="s">
        <v>340</v>
      </c>
      <c r="E57" s="13" t="s">
        <v>218</v>
      </c>
      <c r="F57" s="13" t="s">
        <v>240</v>
      </c>
      <c r="G57" s="13" t="s">
        <v>220</v>
      </c>
      <c r="H57" s="13" t="s">
        <v>157</v>
      </c>
      <c r="I57" s="13"/>
      <c r="J57" s="13"/>
      <c r="K57" s="13">
        <v>13</v>
      </c>
      <c r="L57" s="13"/>
      <c r="M57" s="13"/>
      <c r="N57" s="8" t="s">
        <v>221</v>
      </c>
      <c r="O57" s="8"/>
    </row>
    <row r="58" spans="1:15" ht="28" x14ac:dyDescent="0.15">
      <c r="A58" s="15" t="s">
        <v>341</v>
      </c>
      <c r="B58" s="8" t="s">
        <v>339</v>
      </c>
      <c r="C58" s="8" t="s">
        <v>114</v>
      </c>
      <c r="D58" s="8" t="s">
        <v>115</v>
      </c>
      <c r="E58" s="13" t="s">
        <v>218</v>
      </c>
      <c r="F58" s="13" t="s">
        <v>249</v>
      </c>
      <c r="G58" s="13" t="s">
        <v>220</v>
      </c>
      <c r="H58" s="13" t="s">
        <v>157</v>
      </c>
      <c r="I58" s="13"/>
      <c r="J58" s="13"/>
      <c r="K58" s="13">
        <v>15</v>
      </c>
      <c r="L58" s="13"/>
      <c r="M58" s="13"/>
      <c r="N58" s="8" t="s">
        <v>221</v>
      </c>
      <c r="O58" s="8"/>
    </row>
    <row r="59" spans="1:15" ht="28" x14ac:dyDescent="0.15">
      <c r="A59" s="15" t="s">
        <v>314</v>
      </c>
      <c r="B59" s="8" t="s">
        <v>339</v>
      </c>
      <c r="C59" s="8" t="s">
        <v>114</v>
      </c>
      <c r="D59" s="8" t="s">
        <v>342</v>
      </c>
      <c r="E59" s="13" t="s">
        <v>218</v>
      </c>
      <c r="F59" s="13" t="s">
        <v>239</v>
      </c>
      <c r="G59" s="13" t="s">
        <v>220</v>
      </c>
      <c r="H59" s="13" t="s">
        <v>157</v>
      </c>
      <c r="I59" s="13"/>
      <c r="J59" s="13"/>
      <c r="K59" s="13">
        <v>10</v>
      </c>
      <c r="L59" s="13"/>
      <c r="M59" s="13"/>
      <c r="N59" s="8" t="s">
        <v>221</v>
      </c>
      <c r="O59" s="8"/>
    </row>
    <row r="60" spans="1:15" ht="28" x14ac:dyDescent="0.15">
      <c r="A60" s="15" t="s">
        <v>343</v>
      </c>
      <c r="B60" s="8" t="s">
        <v>339</v>
      </c>
      <c r="C60" s="8" t="s">
        <v>114</v>
      </c>
      <c r="D60" s="8" t="s">
        <v>344</v>
      </c>
      <c r="E60" s="13" t="s">
        <v>228</v>
      </c>
      <c r="F60" s="13" t="s">
        <v>230</v>
      </c>
      <c r="G60" s="13" t="s">
        <v>220</v>
      </c>
      <c r="H60" s="13" t="s">
        <v>157</v>
      </c>
      <c r="I60" s="13"/>
      <c r="J60" s="13"/>
      <c r="K60" s="13">
        <v>5</v>
      </c>
      <c r="L60" s="13"/>
      <c r="M60" s="13"/>
      <c r="N60" s="8" t="s">
        <v>221</v>
      </c>
      <c r="O60" s="8"/>
    </row>
    <row r="61" spans="1:15" ht="28" x14ac:dyDescent="0.15">
      <c r="A61" s="15" t="s">
        <v>345</v>
      </c>
      <c r="B61" s="8" t="s">
        <v>339</v>
      </c>
      <c r="C61" s="8" t="s">
        <v>114</v>
      </c>
      <c r="D61" s="8" t="s">
        <v>346</v>
      </c>
      <c r="E61" s="13" t="s">
        <v>228</v>
      </c>
      <c r="F61" s="13" t="s">
        <v>231</v>
      </c>
      <c r="G61" s="13" t="s">
        <v>220</v>
      </c>
      <c r="H61" s="13" t="s">
        <v>157</v>
      </c>
      <c r="I61" s="13"/>
      <c r="J61" s="13"/>
      <c r="K61" s="13">
        <v>6</v>
      </c>
      <c r="L61" s="13"/>
      <c r="M61" s="13"/>
      <c r="N61" s="8" t="s">
        <v>221</v>
      </c>
      <c r="O61" s="8"/>
    </row>
    <row r="62" spans="1:15" ht="28" x14ac:dyDescent="0.15">
      <c r="A62" s="15" t="s">
        <v>347</v>
      </c>
      <c r="B62" s="8" t="s">
        <v>339</v>
      </c>
      <c r="C62" s="8" t="s">
        <v>114</v>
      </c>
      <c r="D62" s="8" t="s">
        <v>348</v>
      </c>
      <c r="E62" s="13" t="s">
        <v>228</v>
      </c>
      <c r="F62" s="13" t="s">
        <v>250</v>
      </c>
      <c r="G62" s="13" t="s">
        <v>220</v>
      </c>
      <c r="H62" s="13" t="s">
        <v>157</v>
      </c>
      <c r="I62" s="13"/>
      <c r="J62" s="13"/>
      <c r="K62" s="13">
        <v>16</v>
      </c>
      <c r="L62" s="13"/>
      <c r="M62" s="13"/>
      <c r="N62" s="8" t="s">
        <v>221</v>
      </c>
      <c r="O62" s="8"/>
    </row>
    <row r="63" spans="1:15" ht="28" x14ac:dyDescent="0.15">
      <c r="A63" s="15" t="s">
        <v>349</v>
      </c>
      <c r="B63" s="8" t="s">
        <v>350</v>
      </c>
      <c r="C63" s="8" t="s">
        <v>67</v>
      </c>
      <c r="D63" s="8" t="s">
        <v>351</v>
      </c>
      <c r="E63" s="13" t="s">
        <v>218</v>
      </c>
      <c r="F63" s="13" t="s">
        <v>226</v>
      </c>
      <c r="G63" s="13" t="s">
        <v>220</v>
      </c>
      <c r="H63" s="13" t="s">
        <v>157</v>
      </c>
      <c r="I63" s="13"/>
      <c r="J63" s="13"/>
      <c r="K63" s="13">
        <v>4</v>
      </c>
      <c r="L63" s="13"/>
      <c r="M63" s="13"/>
      <c r="N63" s="8" t="s">
        <v>221</v>
      </c>
      <c r="O63" s="8"/>
    </row>
    <row r="64" spans="1:15" ht="28" x14ac:dyDescent="0.15">
      <c r="A64" s="15" t="s">
        <v>352</v>
      </c>
      <c r="B64" s="8" t="s">
        <v>350</v>
      </c>
      <c r="C64" s="8" t="s">
        <v>67</v>
      </c>
      <c r="D64" s="8" t="s">
        <v>68</v>
      </c>
      <c r="E64" s="13" t="s">
        <v>218</v>
      </c>
      <c r="F64" s="13" t="s">
        <v>234</v>
      </c>
      <c r="G64" s="13" t="s">
        <v>220</v>
      </c>
      <c r="H64" s="13" t="s">
        <v>157</v>
      </c>
      <c r="I64" s="13"/>
      <c r="J64" s="13"/>
      <c r="K64" s="13">
        <v>7</v>
      </c>
      <c r="L64" s="13"/>
      <c r="M64" s="13"/>
      <c r="N64" s="8" t="s">
        <v>221</v>
      </c>
      <c r="O64" s="8"/>
    </row>
    <row r="65" spans="1:15" ht="28" x14ac:dyDescent="0.15">
      <c r="A65" s="15" t="s">
        <v>353</v>
      </c>
      <c r="B65" s="8" t="s">
        <v>350</v>
      </c>
      <c r="C65" s="8" t="s">
        <v>67</v>
      </c>
      <c r="D65" s="8" t="s">
        <v>93</v>
      </c>
      <c r="E65" s="13" t="s">
        <v>218</v>
      </c>
      <c r="F65" s="13" t="s">
        <v>240</v>
      </c>
      <c r="G65" s="13" t="s">
        <v>220</v>
      </c>
      <c r="H65" s="13" t="s">
        <v>157</v>
      </c>
      <c r="I65" s="13"/>
      <c r="J65" s="13"/>
      <c r="K65" s="13">
        <v>13</v>
      </c>
      <c r="L65" s="13"/>
      <c r="M65" s="13"/>
      <c r="N65" s="8" t="s">
        <v>221</v>
      </c>
      <c r="O65" s="8"/>
    </row>
    <row r="66" spans="1:15" ht="42" x14ac:dyDescent="0.15">
      <c r="A66" s="15" t="s">
        <v>354</v>
      </c>
      <c r="B66" s="8" t="s">
        <v>350</v>
      </c>
      <c r="C66" s="8" t="s">
        <v>67</v>
      </c>
      <c r="D66" s="8" t="s">
        <v>355</v>
      </c>
      <c r="E66" s="13" t="s">
        <v>218</v>
      </c>
      <c r="F66" s="13" t="s">
        <v>275</v>
      </c>
      <c r="G66" s="13" t="s">
        <v>220</v>
      </c>
      <c r="H66" s="13" t="s">
        <v>157</v>
      </c>
      <c r="I66" s="13"/>
      <c r="J66" s="13"/>
      <c r="K66" s="13">
        <v>31</v>
      </c>
      <c r="L66" s="13"/>
      <c r="M66" s="13"/>
      <c r="N66" s="8" t="s">
        <v>221</v>
      </c>
      <c r="O66" s="8"/>
    </row>
    <row r="67" spans="1:15" ht="28" x14ac:dyDescent="0.15">
      <c r="A67" s="15" t="s">
        <v>356</v>
      </c>
      <c r="B67" s="8" t="s">
        <v>350</v>
      </c>
      <c r="C67" s="8" t="s">
        <v>67</v>
      </c>
      <c r="D67" s="8" t="s">
        <v>111</v>
      </c>
      <c r="E67" s="13" t="s">
        <v>218</v>
      </c>
      <c r="F67" s="13" t="s">
        <v>233</v>
      </c>
      <c r="G67" s="13" t="s">
        <v>220</v>
      </c>
      <c r="H67" s="13" t="s">
        <v>157</v>
      </c>
      <c r="I67" s="13"/>
      <c r="J67" s="13"/>
      <c r="K67" s="13">
        <v>12</v>
      </c>
      <c r="L67" s="13"/>
      <c r="M67" s="13"/>
      <c r="N67" s="8" t="s">
        <v>221</v>
      </c>
      <c r="O67" s="8"/>
    </row>
    <row r="68" spans="1:15" ht="28" x14ac:dyDescent="0.15">
      <c r="A68" s="15" t="s">
        <v>357</v>
      </c>
      <c r="B68" s="8" t="s">
        <v>350</v>
      </c>
      <c r="C68" s="8" t="s">
        <v>67</v>
      </c>
      <c r="D68" s="8" t="s">
        <v>108</v>
      </c>
      <c r="E68" s="13" t="s">
        <v>218</v>
      </c>
      <c r="F68" s="13" t="s">
        <v>251</v>
      </c>
      <c r="G68" s="13" t="s">
        <v>220</v>
      </c>
      <c r="H68" s="13" t="s">
        <v>157</v>
      </c>
      <c r="I68" s="13"/>
      <c r="J68" s="13"/>
      <c r="K68" s="13">
        <v>20</v>
      </c>
      <c r="L68" s="13"/>
      <c r="M68" s="13"/>
      <c r="N68" s="8" t="s">
        <v>221</v>
      </c>
      <c r="O68" s="8"/>
    </row>
    <row r="69" spans="1:15" ht="28" x14ac:dyDescent="0.15">
      <c r="A69" s="15" t="s">
        <v>358</v>
      </c>
      <c r="B69" s="8" t="s">
        <v>350</v>
      </c>
      <c r="C69" s="8" t="s">
        <v>67</v>
      </c>
      <c r="D69" s="8" t="s">
        <v>359</v>
      </c>
      <c r="E69" s="13" t="s">
        <v>228</v>
      </c>
      <c r="F69" s="13" t="s">
        <v>234</v>
      </c>
      <c r="G69" s="13" t="s">
        <v>220</v>
      </c>
      <c r="H69" s="13" t="s">
        <v>157</v>
      </c>
      <c r="I69" s="13"/>
      <c r="J69" s="13"/>
      <c r="K69" s="13">
        <v>7</v>
      </c>
      <c r="L69" s="13"/>
      <c r="M69" s="13"/>
      <c r="N69" s="8" t="s">
        <v>221</v>
      </c>
      <c r="O69" s="8"/>
    </row>
    <row r="70" spans="1:15" ht="28" x14ac:dyDescent="0.15">
      <c r="A70" s="15" t="s">
        <v>360</v>
      </c>
      <c r="B70" s="8" t="s">
        <v>350</v>
      </c>
      <c r="C70" s="8" t="s">
        <v>67</v>
      </c>
      <c r="D70" s="8" t="s">
        <v>22</v>
      </c>
      <c r="E70" s="13" t="s">
        <v>228</v>
      </c>
      <c r="F70" s="13" t="s">
        <v>238</v>
      </c>
      <c r="G70" s="13" t="s">
        <v>220</v>
      </c>
      <c r="H70" s="13" t="s">
        <v>157</v>
      </c>
      <c r="I70" s="13"/>
      <c r="J70" s="13"/>
      <c r="K70" s="13">
        <v>9</v>
      </c>
      <c r="L70" s="13"/>
      <c r="M70" s="13"/>
      <c r="N70" s="8" t="s">
        <v>221</v>
      </c>
      <c r="O70" s="8"/>
    </row>
    <row r="71" spans="1:15" ht="28" x14ac:dyDescent="0.15">
      <c r="A71" s="15" t="s">
        <v>361</v>
      </c>
      <c r="B71" s="8" t="s">
        <v>350</v>
      </c>
      <c r="C71" s="8" t="s">
        <v>67</v>
      </c>
      <c r="D71" s="8" t="s">
        <v>15</v>
      </c>
      <c r="E71" s="13" t="s">
        <v>228</v>
      </c>
      <c r="F71" s="13" t="s">
        <v>238</v>
      </c>
      <c r="G71" s="13" t="s">
        <v>220</v>
      </c>
      <c r="H71" s="13" t="s">
        <v>157</v>
      </c>
      <c r="I71" s="13"/>
      <c r="J71" s="13"/>
      <c r="K71" s="13">
        <v>9</v>
      </c>
      <c r="L71" s="13"/>
      <c r="M71" s="13"/>
      <c r="N71" s="8" t="s">
        <v>221</v>
      </c>
      <c r="O71" s="8"/>
    </row>
    <row r="72" spans="1:15" ht="56" x14ac:dyDescent="0.15">
      <c r="A72" s="15" t="s">
        <v>362</v>
      </c>
      <c r="B72" s="8" t="s">
        <v>350</v>
      </c>
      <c r="C72" s="8" t="s">
        <v>67</v>
      </c>
      <c r="D72" s="8" t="s">
        <v>363</v>
      </c>
      <c r="E72" s="13" t="s">
        <v>228</v>
      </c>
      <c r="F72" s="13" t="s">
        <v>315</v>
      </c>
      <c r="G72" s="13" t="s">
        <v>220</v>
      </c>
      <c r="H72" s="13" t="s">
        <v>157</v>
      </c>
      <c r="I72" s="13"/>
      <c r="J72" s="13"/>
      <c r="K72" s="13">
        <v>45</v>
      </c>
      <c r="L72" s="13"/>
      <c r="M72" s="13"/>
      <c r="N72" s="8" t="s">
        <v>221</v>
      </c>
      <c r="O72" s="8"/>
    </row>
    <row r="73" spans="1:15" ht="28" x14ac:dyDescent="0.15">
      <c r="A73" s="15" t="s">
        <v>364</v>
      </c>
      <c r="B73" s="8" t="s">
        <v>350</v>
      </c>
      <c r="C73" s="8" t="s">
        <v>67</v>
      </c>
      <c r="D73" s="8" t="s">
        <v>82</v>
      </c>
      <c r="E73" s="13" t="s">
        <v>228</v>
      </c>
      <c r="F73" s="13" t="s">
        <v>223</v>
      </c>
      <c r="G73" s="13" t="s">
        <v>220</v>
      </c>
      <c r="H73" s="13" t="s">
        <v>157</v>
      </c>
      <c r="I73" s="13"/>
      <c r="J73" s="13"/>
      <c r="K73" s="13">
        <v>17</v>
      </c>
      <c r="L73" s="13"/>
      <c r="M73" s="13"/>
      <c r="N73" s="8" t="s">
        <v>221</v>
      </c>
      <c r="O73" s="8"/>
    </row>
    <row r="74" spans="1:15" ht="28" x14ac:dyDescent="0.15">
      <c r="A74" s="15" t="s">
        <v>365</v>
      </c>
      <c r="B74" s="8" t="s">
        <v>350</v>
      </c>
      <c r="C74" s="8" t="s">
        <v>67</v>
      </c>
      <c r="D74" s="8" t="s">
        <v>366</v>
      </c>
      <c r="E74" s="13" t="s">
        <v>228</v>
      </c>
      <c r="F74" s="13" t="s">
        <v>272</v>
      </c>
      <c r="G74" s="13" t="s">
        <v>220</v>
      </c>
      <c r="H74" s="13" t="s">
        <v>157</v>
      </c>
      <c r="I74" s="13"/>
      <c r="J74" s="13"/>
      <c r="K74" s="13">
        <v>29</v>
      </c>
      <c r="L74" s="13"/>
      <c r="M74" s="13"/>
      <c r="N74" s="8" t="s">
        <v>221</v>
      </c>
      <c r="O74" s="8"/>
    </row>
    <row r="75" spans="1:15" ht="28" x14ac:dyDescent="0.15">
      <c r="A75" s="15" t="s">
        <v>367</v>
      </c>
      <c r="B75" s="8" t="s">
        <v>350</v>
      </c>
      <c r="C75" s="8" t="s">
        <v>67</v>
      </c>
      <c r="D75" s="8" t="s">
        <v>368</v>
      </c>
      <c r="E75" s="13" t="s">
        <v>228</v>
      </c>
      <c r="F75" s="13" t="s">
        <v>256</v>
      </c>
      <c r="G75" s="13" t="s">
        <v>220</v>
      </c>
      <c r="H75" s="13" t="s">
        <v>157</v>
      </c>
      <c r="I75" s="13"/>
      <c r="J75" s="13"/>
      <c r="K75" s="13">
        <v>22</v>
      </c>
      <c r="L75" s="13"/>
      <c r="M75" s="13"/>
      <c r="N75" s="8" t="s">
        <v>221</v>
      </c>
      <c r="O75" s="8"/>
    </row>
    <row r="76" spans="1:15" ht="28" x14ac:dyDescent="0.15">
      <c r="A76" s="15" t="s">
        <v>369</v>
      </c>
      <c r="B76" s="8" t="s">
        <v>350</v>
      </c>
      <c r="C76" s="8" t="s">
        <v>67</v>
      </c>
      <c r="D76" s="8" t="s">
        <v>370</v>
      </c>
      <c r="E76" s="13" t="s">
        <v>228</v>
      </c>
      <c r="F76" s="13" t="s">
        <v>244</v>
      </c>
      <c r="G76" s="13" t="s">
        <v>220</v>
      </c>
      <c r="H76" s="13" t="s">
        <v>157</v>
      </c>
      <c r="I76" s="13"/>
      <c r="J76" s="13"/>
      <c r="K76" s="13">
        <v>23</v>
      </c>
      <c r="L76" s="13"/>
      <c r="M76" s="13"/>
      <c r="N76" s="8" t="s">
        <v>221</v>
      </c>
      <c r="O76" s="8"/>
    </row>
    <row r="77" spans="1:15" ht="42" x14ac:dyDescent="0.15">
      <c r="A77" s="15" t="s">
        <v>371</v>
      </c>
      <c r="B77" s="8" t="s">
        <v>350</v>
      </c>
      <c r="C77" s="8" t="s">
        <v>67</v>
      </c>
      <c r="D77" s="8" t="s">
        <v>372</v>
      </c>
      <c r="E77" s="13" t="s">
        <v>228</v>
      </c>
      <c r="F77" s="13" t="s">
        <v>304</v>
      </c>
      <c r="G77" s="13" t="s">
        <v>220</v>
      </c>
      <c r="H77" s="13" t="s">
        <v>157</v>
      </c>
      <c r="I77" s="13"/>
      <c r="J77" s="13"/>
      <c r="K77" s="13">
        <v>41</v>
      </c>
      <c r="L77" s="13"/>
      <c r="M77" s="13"/>
      <c r="N77" s="8" t="s">
        <v>221</v>
      </c>
      <c r="O77" s="8"/>
    </row>
    <row r="78" spans="1:15" ht="28" x14ac:dyDescent="0.15">
      <c r="A78" s="15" t="s">
        <v>373</v>
      </c>
      <c r="B78" s="8" t="s">
        <v>374</v>
      </c>
      <c r="C78" s="8" t="s">
        <v>375</v>
      </c>
      <c r="D78" s="8" t="s">
        <v>376</v>
      </c>
      <c r="E78" s="13" t="s">
        <v>218</v>
      </c>
      <c r="F78" s="13" t="s">
        <v>230</v>
      </c>
      <c r="G78" s="13" t="s">
        <v>220</v>
      </c>
      <c r="H78" s="13" t="s">
        <v>157</v>
      </c>
      <c r="I78" s="13"/>
      <c r="J78" s="13"/>
      <c r="K78" s="13">
        <v>5</v>
      </c>
      <c r="L78" s="13"/>
      <c r="M78" s="13"/>
      <c r="N78" s="8" t="s">
        <v>221</v>
      </c>
      <c r="O78" s="8"/>
    </row>
    <row r="79" spans="1:15" ht="28" x14ac:dyDescent="0.15">
      <c r="A79" s="15" t="s">
        <v>377</v>
      </c>
      <c r="B79" s="8" t="s">
        <v>374</v>
      </c>
      <c r="C79" s="8" t="s">
        <v>375</v>
      </c>
      <c r="D79" s="8" t="s">
        <v>378</v>
      </c>
      <c r="E79" s="13" t="s">
        <v>218</v>
      </c>
      <c r="F79" s="13" t="s">
        <v>238</v>
      </c>
      <c r="G79" s="13" t="s">
        <v>220</v>
      </c>
      <c r="H79" s="13" t="s">
        <v>157</v>
      </c>
      <c r="I79" s="13"/>
      <c r="J79" s="13"/>
      <c r="K79" s="13">
        <v>9</v>
      </c>
      <c r="L79" s="13"/>
      <c r="M79" s="13"/>
      <c r="N79" s="8" t="s">
        <v>221</v>
      </c>
      <c r="O79" s="8"/>
    </row>
    <row r="80" spans="1:15" ht="28" x14ac:dyDescent="0.15">
      <c r="A80" s="15" t="s">
        <v>379</v>
      </c>
      <c r="B80" s="8" t="s">
        <v>374</v>
      </c>
      <c r="C80" s="8" t="s">
        <v>375</v>
      </c>
      <c r="D80" s="8" t="s">
        <v>380</v>
      </c>
      <c r="E80" s="13" t="s">
        <v>218</v>
      </c>
      <c r="F80" s="13" t="s">
        <v>225</v>
      </c>
      <c r="G80" s="13" t="s">
        <v>220</v>
      </c>
      <c r="H80" s="13" t="s">
        <v>157</v>
      </c>
      <c r="I80" s="13"/>
      <c r="J80" s="13"/>
      <c r="K80" s="13">
        <v>18</v>
      </c>
      <c r="L80" s="13"/>
      <c r="M80" s="13"/>
      <c r="N80" s="8" t="s">
        <v>221</v>
      </c>
      <c r="O80" s="8"/>
    </row>
    <row r="81" spans="1:15" ht="28" x14ac:dyDescent="0.15">
      <c r="A81" s="15" t="s">
        <v>381</v>
      </c>
      <c r="B81" s="8" t="s">
        <v>374</v>
      </c>
      <c r="C81" s="8" t="s">
        <v>375</v>
      </c>
      <c r="D81" s="8" t="s">
        <v>382</v>
      </c>
      <c r="E81" s="13" t="s">
        <v>218</v>
      </c>
      <c r="F81" s="13" t="s">
        <v>241</v>
      </c>
      <c r="G81" s="13" t="s">
        <v>220</v>
      </c>
      <c r="H81" s="13" t="s">
        <v>157</v>
      </c>
      <c r="I81" s="13"/>
      <c r="J81" s="13"/>
      <c r="K81" s="13">
        <v>11</v>
      </c>
      <c r="L81" s="13"/>
      <c r="M81" s="13"/>
      <c r="N81" s="8" t="s">
        <v>221</v>
      </c>
      <c r="O81" s="8"/>
    </row>
    <row r="82" spans="1:15" ht="28" x14ac:dyDescent="0.15">
      <c r="A82" s="15" t="s">
        <v>383</v>
      </c>
      <c r="B82" s="8" t="s">
        <v>374</v>
      </c>
      <c r="C82" s="8" t="s">
        <v>375</v>
      </c>
      <c r="D82" s="8" t="s">
        <v>384</v>
      </c>
      <c r="E82" s="13" t="s">
        <v>228</v>
      </c>
      <c r="F82" s="13" t="s">
        <v>236</v>
      </c>
      <c r="G82" s="13" t="s">
        <v>220</v>
      </c>
      <c r="H82" s="13" t="s">
        <v>157</v>
      </c>
      <c r="I82" s="13"/>
      <c r="J82" s="13"/>
      <c r="K82" s="13">
        <v>8</v>
      </c>
      <c r="L82" s="13"/>
      <c r="M82" s="13"/>
      <c r="N82" s="8" t="s">
        <v>221</v>
      </c>
      <c r="O82" s="8"/>
    </row>
    <row r="83" spans="1:15" ht="28" x14ac:dyDescent="0.15">
      <c r="A83" s="15" t="s">
        <v>385</v>
      </c>
      <c r="B83" s="8" t="s">
        <v>374</v>
      </c>
      <c r="C83" s="8" t="s">
        <v>375</v>
      </c>
      <c r="D83" s="8" t="s">
        <v>386</v>
      </c>
      <c r="E83" s="13" t="s">
        <v>228</v>
      </c>
      <c r="F83" s="13" t="s">
        <v>255</v>
      </c>
      <c r="G83" s="13" t="s">
        <v>220</v>
      </c>
      <c r="H83" s="13" t="s">
        <v>157</v>
      </c>
      <c r="I83" s="13"/>
      <c r="J83" s="13"/>
      <c r="K83" s="13">
        <v>21</v>
      </c>
      <c r="L83" s="13"/>
      <c r="M83" s="13"/>
      <c r="N83" s="8" t="s">
        <v>221</v>
      </c>
      <c r="O83" s="8"/>
    </row>
    <row r="84" spans="1:15" ht="28" x14ac:dyDescent="0.15">
      <c r="A84" s="15" t="s">
        <v>387</v>
      </c>
      <c r="B84" s="8" t="s">
        <v>374</v>
      </c>
      <c r="C84" s="8" t="s">
        <v>375</v>
      </c>
      <c r="D84" s="8" t="s">
        <v>388</v>
      </c>
      <c r="E84" s="13" t="s">
        <v>228</v>
      </c>
      <c r="F84" s="13" t="s">
        <v>236</v>
      </c>
      <c r="G84" s="13" t="s">
        <v>220</v>
      </c>
      <c r="H84" s="13" t="s">
        <v>157</v>
      </c>
      <c r="I84" s="13"/>
      <c r="J84" s="13"/>
      <c r="K84" s="13">
        <v>8</v>
      </c>
      <c r="L84" s="13"/>
      <c r="M84" s="13"/>
      <c r="N84" s="8" t="s">
        <v>221</v>
      </c>
      <c r="O84" s="8"/>
    </row>
    <row r="85" spans="1:15" ht="28" x14ac:dyDescent="0.15">
      <c r="A85" s="15" t="s">
        <v>389</v>
      </c>
      <c r="B85" s="8" t="s">
        <v>390</v>
      </c>
      <c r="C85" s="8" t="s">
        <v>97</v>
      </c>
      <c r="D85" s="8" t="s">
        <v>131</v>
      </c>
      <c r="E85" s="13" t="s">
        <v>218</v>
      </c>
      <c r="F85" s="13" t="s">
        <v>226</v>
      </c>
      <c r="G85" s="13" t="s">
        <v>220</v>
      </c>
      <c r="H85" s="13" t="s">
        <v>157</v>
      </c>
      <c r="I85" s="13"/>
      <c r="J85" s="13"/>
      <c r="K85" s="13">
        <v>4</v>
      </c>
      <c r="L85" s="13"/>
      <c r="M85" s="13"/>
      <c r="N85" s="8" t="s">
        <v>221</v>
      </c>
      <c r="O85" s="8"/>
    </row>
    <row r="86" spans="1:15" ht="28" x14ac:dyDescent="0.15">
      <c r="A86" s="15" t="s">
        <v>391</v>
      </c>
      <c r="B86" s="8" t="s">
        <v>390</v>
      </c>
      <c r="C86" s="8" t="s">
        <v>97</v>
      </c>
      <c r="D86" s="8" t="s">
        <v>392</v>
      </c>
      <c r="E86" s="13" t="s">
        <v>218</v>
      </c>
      <c r="F86" s="13" t="s">
        <v>236</v>
      </c>
      <c r="G86" s="13" t="s">
        <v>220</v>
      </c>
      <c r="H86" s="13" t="s">
        <v>157</v>
      </c>
      <c r="I86" s="13"/>
      <c r="J86" s="13"/>
      <c r="K86" s="13">
        <v>8</v>
      </c>
      <c r="L86" s="13"/>
      <c r="M86" s="13"/>
      <c r="N86" s="8" t="s">
        <v>221</v>
      </c>
      <c r="O86" s="8"/>
    </row>
    <row r="87" spans="1:15" ht="28" x14ac:dyDescent="0.15">
      <c r="A87" s="15" t="s">
        <v>393</v>
      </c>
      <c r="B87" s="8" t="s">
        <v>390</v>
      </c>
      <c r="C87" s="8" t="s">
        <v>97</v>
      </c>
      <c r="D87" s="8" t="s">
        <v>394</v>
      </c>
      <c r="E87" s="13" t="s">
        <v>218</v>
      </c>
      <c r="F87" s="13" t="s">
        <v>246</v>
      </c>
      <c r="G87" s="13" t="s">
        <v>220</v>
      </c>
      <c r="H87" s="13" t="s">
        <v>157</v>
      </c>
      <c r="I87" s="13"/>
      <c r="J87" s="13"/>
      <c r="K87" s="13">
        <v>14</v>
      </c>
      <c r="L87" s="13"/>
      <c r="M87" s="13"/>
      <c r="N87" s="8" t="s">
        <v>221</v>
      </c>
      <c r="O87" s="8"/>
    </row>
    <row r="88" spans="1:15" ht="28" x14ac:dyDescent="0.15">
      <c r="A88" s="15" t="s">
        <v>395</v>
      </c>
      <c r="B88" s="8" t="s">
        <v>390</v>
      </c>
      <c r="C88" s="8" t="s">
        <v>97</v>
      </c>
      <c r="D88" s="8" t="s">
        <v>396</v>
      </c>
      <c r="E88" s="13" t="s">
        <v>218</v>
      </c>
      <c r="F88" s="13" t="s">
        <v>234</v>
      </c>
      <c r="G88" s="13" t="s">
        <v>220</v>
      </c>
      <c r="H88" s="13" t="s">
        <v>157</v>
      </c>
      <c r="I88" s="13"/>
      <c r="J88" s="13"/>
      <c r="K88" s="13">
        <v>7</v>
      </c>
      <c r="L88" s="13"/>
      <c r="M88" s="13"/>
      <c r="N88" s="8" t="s">
        <v>221</v>
      </c>
      <c r="O88" s="8"/>
    </row>
    <row r="89" spans="1:15" ht="28" x14ac:dyDescent="0.15">
      <c r="A89" s="15" t="s">
        <v>397</v>
      </c>
      <c r="B89" s="8" t="s">
        <v>390</v>
      </c>
      <c r="C89" s="8" t="s">
        <v>97</v>
      </c>
      <c r="D89" s="8" t="s">
        <v>60</v>
      </c>
      <c r="E89" s="13" t="s">
        <v>218</v>
      </c>
      <c r="F89" s="13" t="s">
        <v>238</v>
      </c>
      <c r="G89" s="13" t="s">
        <v>220</v>
      </c>
      <c r="H89" s="13" t="s">
        <v>157</v>
      </c>
      <c r="I89" s="13"/>
      <c r="J89" s="13"/>
      <c r="K89" s="13">
        <v>9</v>
      </c>
      <c r="L89" s="13"/>
      <c r="M89" s="13"/>
      <c r="N89" s="8" t="s">
        <v>221</v>
      </c>
      <c r="O89" s="8"/>
    </row>
    <row r="90" spans="1:15" ht="28" x14ac:dyDescent="0.15">
      <c r="A90" s="15" t="s">
        <v>398</v>
      </c>
      <c r="B90" s="8" t="s">
        <v>390</v>
      </c>
      <c r="C90" s="8" t="s">
        <v>97</v>
      </c>
      <c r="D90" s="8" t="s">
        <v>123</v>
      </c>
      <c r="E90" s="13" t="s">
        <v>218</v>
      </c>
      <c r="F90" s="13" t="s">
        <v>253</v>
      </c>
      <c r="G90" s="13" t="s">
        <v>220</v>
      </c>
      <c r="H90" s="13" t="s">
        <v>157</v>
      </c>
      <c r="I90" s="13"/>
      <c r="J90" s="13"/>
      <c r="K90" s="13">
        <v>19</v>
      </c>
      <c r="L90" s="13"/>
      <c r="M90" s="13"/>
      <c r="N90" s="8" t="s">
        <v>221</v>
      </c>
      <c r="O90" s="8"/>
    </row>
    <row r="91" spans="1:15" ht="28" x14ac:dyDescent="0.15">
      <c r="A91" s="15" t="s">
        <v>399</v>
      </c>
      <c r="B91" s="8" t="s">
        <v>390</v>
      </c>
      <c r="C91" s="8" t="s">
        <v>97</v>
      </c>
      <c r="D91" s="8" t="s">
        <v>63</v>
      </c>
      <c r="E91" s="13" t="s">
        <v>218</v>
      </c>
      <c r="F91" s="13" t="s">
        <v>246</v>
      </c>
      <c r="G91" s="13" t="s">
        <v>220</v>
      </c>
      <c r="H91" s="13" t="s">
        <v>157</v>
      </c>
      <c r="I91" s="13"/>
      <c r="J91" s="13"/>
      <c r="K91" s="13">
        <v>14</v>
      </c>
      <c r="L91" s="13"/>
      <c r="M91" s="13"/>
      <c r="N91" s="8" t="s">
        <v>221</v>
      </c>
      <c r="O91" s="8"/>
    </row>
    <row r="92" spans="1:15" ht="28" x14ac:dyDescent="0.15">
      <c r="A92" s="15" t="s">
        <v>400</v>
      </c>
      <c r="B92" s="8" t="s">
        <v>390</v>
      </c>
      <c r="C92" s="8" t="s">
        <v>97</v>
      </c>
      <c r="D92" s="8" t="s">
        <v>25</v>
      </c>
      <c r="E92" s="13" t="s">
        <v>218</v>
      </c>
      <c r="F92" s="13" t="s">
        <v>255</v>
      </c>
      <c r="G92" s="13" t="s">
        <v>220</v>
      </c>
      <c r="H92" s="13" t="s">
        <v>157</v>
      </c>
      <c r="I92" s="13"/>
      <c r="J92" s="13"/>
      <c r="K92" s="13">
        <v>21</v>
      </c>
      <c r="L92" s="13"/>
      <c r="M92" s="13"/>
      <c r="N92" s="8" t="s">
        <v>221</v>
      </c>
      <c r="O92" s="8"/>
    </row>
    <row r="93" spans="1:15" ht="28" x14ac:dyDescent="0.15">
      <c r="A93" s="15" t="s">
        <v>401</v>
      </c>
      <c r="B93" s="8" t="s">
        <v>390</v>
      </c>
      <c r="C93" s="8" t="s">
        <v>97</v>
      </c>
      <c r="D93" s="8" t="s">
        <v>100</v>
      </c>
      <c r="E93" s="13" t="s">
        <v>228</v>
      </c>
      <c r="F93" s="13" t="s">
        <v>223</v>
      </c>
      <c r="G93" s="13" t="s">
        <v>220</v>
      </c>
      <c r="H93" s="13" t="s">
        <v>157</v>
      </c>
      <c r="I93" s="13"/>
      <c r="J93" s="13"/>
      <c r="K93" s="13">
        <v>17</v>
      </c>
      <c r="L93" s="13"/>
      <c r="M93" s="13"/>
      <c r="N93" s="8" t="s">
        <v>221</v>
      </c>
      <c r="O93" s="8"/>
    </row>
    <row r="94" spans="1:15" ht="28" x14ac:dyDescent="0.15">
      <c r="A94" s="15" t="s">
        <v>402</v>
      </c>
      <c r="B94" s="8" t="s">
        <v>390</v>
      </c>
      <c r="C94" s="8" t="s">
        <v>97</v>
      </c>
      <c r="D94" s="8" t="s">
        <v>98</v>
      </c>
      <c r="E94" s="13" t="s">
        <v>228</v>
      </c>
      <c r="F94" s="13" t="s">
        <v>234</v>
      </c>
      <c r="G94" s="13" t="s">
        <v>220</v>
      </c>
      <c r="H94" s="13" t="s">
        <v>157</v>
      </c>
      <c r="I94" s="13"/>
      <c r="J94" s="13"/>
      <c r="K94" s="13">
        <v>7</v>
      </c>
      <c r="L94" s="13"/>
      <c r="M94" s="13"/>
      <c r="N94" s="8" t="s">
        <v>221</v>
      </c>
      <c r="O94" s="8"/>
    </row>
    <row r="95" spans="1:15" ht="28" x14ac:dyDescent="0.15">
      <c r="A95" s="15" t="s">
        <v>403</v>
      </c>
      <c r="B95" s="8" t="s">
        <v>390</v>
      </c>
      <c r="C95" s="8" t="s">
        <v>97</v>
      </c>
      <c r="D95" s="8" t="s">
        <v>122</v>
      </c>
      <c r="E95" s="13" t="s">
        <v>228</v>
      </c>
      <c r="F95" s="13" t="s">
        <v>239</v>
      </c>
      <c r="G95" s="13" t="s">
        <v>220</v>
      </c>
      <c r="H95" s="13" t="s">
        <v>157</v>
      </c>
      <c r="I95" s="13"/>
      <c r="J95" s="13"/>
      <c r="K95" s="13">
        <v>10</v>
      </c>
      <c r="L95" s="13"/>
      <c r="M95" s="13"/>
      <c r="N95" s="8" t="s">
        <v>221</v>
      </c>
      <c r="O95" s="8"/>
    </row>
    <row r="96" spans="1:15" ht="28" x14ac:dyDescent="0.15">
      <c r="A96" s="15" t="s">
        <v>404</v>
      </c>
      <c r="B96" s="8" t="s">
        <v>390</v>
      </c>
      <c r="C96" s="8" t="s">
        <v>97</v>
      </c>
      <c r="D96" s="8" t="s">
        <v>95</v>
      </c>
      <c r="E96" s="13" t="s">
        <v>228</v>
      </c>
      <c r="F96" s="13" t="s">
        <v>246</v>
      </c>
      <c r="G96" s="13" t="s">
        <v>220</v>
      </c>
      <c r="H96" s="13" t="s">
        <v>157</v>
      </c>
      <c r="I96" s="13"/>
      <c r="J96" s="13"/>
      <c r="K96" s="13">
        <v>14</v>
      </c>
      <c r="L96" s="13"/>
      <c r="M96" s="13"/>
      <c r="N96" s="8" t="s">
        <v>221</v>
      </c>
      <c r="O96" s="8"/>
    </row>
    <row r="97" spans="1:15" ht="28" x14ac:dyDescent="0.15">
      <c r="A97" s="15" t="s">
        <v>405</v>
      </c>
      <c r="B97" s="8" t="s">
        <v>390</v>
      </c>
      <c r="C97" s="8" t="s">
        <v>97</v>
      </c>
      <c r="D97" s="8" t="s">
        <v>106</v>
      </c>
      <c r="E97" s="13" t="s">
        <v>228</v>
      </c>
      <c r="F97" s="13" t="s">
        <v>238</v>
      </c>
      <c r="G97" s="13" t="s">
        <v>220</v>
      </c>
      <c r="H97" s="13" t="s">
        <v>157</v>
      </c>
      <c r="I97" s="13"/>
      <c r="J97" s="13"/>
      <c r="K97" s="13">
        <v>9</v>
      </c>
      <c r="L97" s="13"/>
      <c r="M97" s="13"/>
      <c r="N97" s="8" t="s">
        <v>221</v>
      </c>
      <c r="O97" s="8"/>
    </row>
    <row r="98" spans="1:15" ht="28" x14ac:dyDescent="0.15">
      <c r="A98" s="15" t="s">
        <v>406</v>
      </c>
      <c r="B98" s="8" t="s">
        <v>407</v>
      </c>
      <c r="C98" s="8" t="s">
        <v>408</v>
      </c>
      <c r="D98" s="8" t="s">
        <v>409</v>
      </c>
      <c r="E98" s="13" t="s">
        <v>218</v>
      </c>
      <c r="F98" s="13" t="s">
        <v>251</v>
      </c>
      <c r="G98" s="13" t="s">
        <v>220</v>
      </c>
      <c r="H98" s="13" t="s">
        <v>157</v>
      </c>
      <c r="I98" s="13"/>
      <c r="J98" s="13"/>
      <c r="K98" s="13">
        <v>20</v>
      </c>
      <c r="L98" s="13"/>
      <c r="M98" s="13"/>
      <c r="N98" s="8" t="s">
        <v>221</v>
      </c>
      <c r="O98" s="8"/>
    </row>
    <row r="99" spans="1:15" ht="28" x14ac:dyDescent="0.15">
      <c r="A99" s="15" t="s">
        <v>410</v>
      </c>
      <c r="B99" s="8" t="s">
        <v>407</v>
      </c>
      <c r="C99" s="8" t="s">
        <v>408</v>
      </c>
      <c r="D99" s="8" t="s">
        <v>411</v>
      </c>
      <c r="E99" s="13" t="s">
        <v>218</v>
      </c>
      <c r="F99" s="13" t="s">
        <v>240</v>
      </c>
      <c r="G99" s="13" t="s">
        <v>220</v>
      </c>
      <c r="H99" s="13" t="s">
        <v>157</v>
      </c>
      <c r="I99" s="13"/>
      <c r="J99" s="13"/>
      <c r="K99" s="13">
        <v>13</v>
      </c>
      <c r="L99" s="13"/>
      <c r="M99" s="13"/>
      <c r="N99" s="8" t="s">
        <v>221</v>
      </c>
      <c r="O99" s="8"/>
    </row>
    <row r="100" spans="1:15" ht="28" x14ac:dyDescent="0.15">
      <c r="A100" s="15" t="s">
        <v>412</v>
      </c>
      <c r="B100" s="8" t="s">
        <v>407</v>
      </c>
      <c r="C100" s="8" t="s">
        <v>408</v>
      </c>
      <c r="D100" s="8" t="s">
        <v>85</v>
      </c>
      <c r="E100" s="13" t="s">
        <v>218</v>
      </c>
      <c r="F100" s="13" t="s">
        <v>246</v>
      </c>
      <c r="G100" s="13" t="s">
        <v>220</v>
      </c>
      <c r="H100" s="13" t="s">
        <v>157</v>
      </c>
      <c r="I100" s="13"/>
      <c r="J100" s="13"/>
      <c r="K100" s="13">
        <v>14</v>
      </c>
      <c r="L100" s="13"/>
      <c r="M100" s="13"/>
      <c r="N100" s="8" t="s">
        <v>221</v>
      </c>
      <c r="O100" s="8"/>
    </row>
    <row r="101" spans="1:15" ht="28" x14ac:dyDescent="0.15">
      <c r="A101" s="15" t="s">
        <v>413</v>
      </c>
      <c r="B101" s="8" t="s">
        <v>407</v>
      </c>
      <c r="C101" s="8" t="s">
        <v>408</v>
      </c>
      <c r="D101" s="8" t="s">
        <v>414</v>
      </c>
      <c r="E101" s="13" t="s">
        <v>228</v>
      </c>
      <c r="F101" s="13" t="s">
        <v>246</v>
      </c>
      <c r="G101" s="13" t="s">
        <v>220</v>
      </c>
      <c r="H101" s="13" t="s">
        <v>157</v>
      </c>
      <c r="I101" s="13"/>
      <c r="J101" s="13"/>
      <c r="K101" s="13">
        <v>14</v>
      </c>
      <c r="L101" s="13"/>
      <c r="M101" s="13"/>
      <c r="N101" s="8" t="s">
        <v>221</v>
      </c>
      <c r="O101" s="8"/>
    </row>
    <row r="102" spans="1:15" ht="28" x14ac:dyDescent="0.15">
      <c r="A102" s="15" t="s">
        <v>415</v>
      </c>
      <c r="B102" s="8" t="s">
        <v>407</v>
      </c>
      <c r="C102" s="8" t="s">
        <v>408</v>
      </c>
      <c r="D102" s="8" t="s">
        <v>416</v>
      </c>
      <c r="E102" s="13" t="s">
        <v>228</v>
      </c>
      <c r="F102" s="13" t="s">
        <v>239</v>
      </c>
      <c r="G102" s="13" t="s">
        <v>220</v>
      </c>
      <c r="H102" s="13" t="s">
        <v>157</v>
      </c>
      <c r="I102" s="13"/>
      <c r="J102" s="13"/>
      <c r="K102" s="13">
        <v>10</v>
      </c>
      <c r="L102" s="13"/>
      <c r="M102" s="13"/>
      <c r="N102" s="8" t="s">
        <v>221</v>
      </c>
      <c r="O102" s="8"/>
    </row>
    <row r="103" spans="1:15" ht="28" x14ac:dyDescent="0.15">
      <c r="A103" s="15" t="s">
        <v>417</v>
      </c>
      <c r="B103" s="8" t="s">
        <v>407</v>
      </c>
      <c r="C103" s="8" t="s">
        <v>408</v>
      </c>
      <c r="D103" s="8" t="s">
        <v>88</v>
      </c>
      <c r="E103" s="13" t="s">
        <v>228</v>
      </c>
      <c r="F103" s="13" t="s">
        <v>241</v>
      </c>
      <c r="G103" s="13" t="s">
        <v>220</v>
      </c>
      <c r="H103" s="13" t="s">
        <v>157</v>
      </c>
      <c r="I103" s="13"/>
      <c r="J103" s="13"/>
      <c r="K103" s="13">
        <v>11</v>
      </c>
      <c r="L103" s="13"/>
      <c r="M103" s="13"/>
      <c r="N103" s="8" t="s">
        <v>221</v>
      </c>
      <c r="O103" s="8"/>
    </row>
    <row r="104" spans="1:15" ht="56" x14ac:dyDescent="0.15">
      <c r="A104" s="15" t="s">
        <v>418</v>
      </c>
      <c r="B104" s="8" t="s">
        <v>407</v>
      </c>
      <c r="C104" s="8" t="s">
        <v>408</v>
      </c>
      <c r="D104" s="8" t="s">
        <v>419</v>
      </c>
      <c r="E104" s="13" t="s">
        <v>228</v>
      </c>
      <c r="F104" s="13" t="s">
        <v>338</v>
      </c>
      <c r="G104" s="13" t="s">
        <v>220</v>
      </c>
      <c r="H104" s="13" t="s">
        <v>157</v>
      </c>
      <c r="I104" s="13"/>
      <c r="J104" s="13"/>
      <c r="K104" s="13">
        <v>56</v>
      </c>
      <c r="L104" s="13"/>
      <c r="M104" s="13"/>
      <c r="N104" s="8" t="s">
        <v>221</v>
      </c>
      <c r="O104" s="8"/>
    </row>
    <row r="105" spans="1:15" ht="42" x14ac:dyDescent="0.15">
      <c r="A105" s="15" t="s">
        <v>420</v>
      </c>
      <c r="B105" s="8" t="s">
        <v>421</v>
      </c>
      <c r="C105" s="8" t="s">
        <v>132</v>
      </c>
      <c r="D105" s="8" t="s">
        <v>422</v>
      </c>
      <c r="E105" s="13" t="s">
        <v>218</v>
      </c>
      <c r="F105" s="13" t="s">
        <v>239</v>
      </c>
      <c r="G105" s="13" t="s">
        <v>220</v>
      </c>
      <c r="H105" s="13" t="s">
        <v>157</v>
      </c>
      <c r="I105" s="13"/>
      <c r="J105" s="13"/>
      <c r="K105" s="13">
        <v>10</v>
      </c>
      <c r="L105" s="13"/>
      <c r="M105" s="13"/>
      <c r="N105" s="8" t="s">
        <v>221</v>
      </c>
      <c r="O105" s="8"/>
    </row>
    <row r="106" spans="1:15" ht="42" x14ac:dyDescent="0.15">
      <c r="A106" s="15" t="s">
        <v>423</v>
      </c>
      <c r="B106" s="8" t="s">
        <v>421</v>
      </c>
      <c r="C106" s="8" t="s">
        <v>132</v>
      </c>
      <c r="D106" s="8" t="s">
        <v>424</v>
      </c>
      <c r="E106" s="13" t="s">
        <v>218</v>
      </c>
      <c r="F106" s="13" t="s">
        <v>275</v>
      </c>
      <c r="G106" s="13" t="s">
        <v>220</v>
      </c>
      <c r="H106" s="13" t="s">
        <v>157</v>
      </c>
      <c r="I106" s="13"/>
      <c r="J106" s="13"/>
      <c r="K106" s="13">
        <v>31</v>
      </c>
      <c r="L106" s="13"/>
      <c r="M106" s="13"/>
      <c r="N106" s="8" t="s">
        <v>221</v>
      </c>
      <c r="O106" s="8"/>
    </row>
    <row r="107" spans="1:15" ht="42" x14ac:dyDescent="0.15">
      <c r="A107" s="15" t="s">
        <v>425</v>
      </c>
      <c r="B107" s="8" t="s">
        <v>421</v>
      </c>
      <c r="C107" s="8" t="s">
        <v>132</v>
      </c>
      <c r="D107" s="8" t="s">
        <v>426</v>
      </c>
      <c r="E107" s="13" t="s">
        <v>218</v>
      </c>
      <c r="F107" s="13" t="s">
        <v>272</v>
      </c>
      <c r="G107" s="13" t="s">
        <v>220</v>
      </c>
      <c r="H107" s="13" t="s">
        <v>157</v>
      </c>
      <c r="I107" s="13"/>
      <c r="J107" s="13"/>
      <c r="K107" s="13">
        <v>29</v>
      </c>
      <c r="L107" s="13"/>
      <c r="M107" s="13"/>
      <c r="N107" s="8" t="s">
        <v>221</v>
      </c>
      <c r="O107" s="8"/>
    </row>
    <row r="108" spans="1:15" ht="42" x14ac:dyDescent="0.15">
      <c r="A108" s="15" t="s">
        <v>427</v>
      </c>
      <c r="B108" s="8" t="s">
        <v>421</v>
      </c>
      <c r="C108" s="8" t="s">
        <v>132</v>
      </c>
      <c r="D108" s="8" t="s">
        <v>428</v>
      </c>
      <c r="E108" s="13" t="s">
        <v>218</v>
      </c>
      <c r="F108" s="13" t="s">
        <v>244</v>
      </c>
      <c r="G108" s="13" t="s">
        <v>220</v>
      </c>
      <c r="H108" s="13" t="s">
        <v>157</v>
      </c>
      <c r="I108" s="13"/>
      <c r="J108" s="13"/>
      <c r="K108" s="13">
        <v>23</v>
      </c>
      <c r="L108" s="13"/>
      <c r="M108" s="13"/>
      <c r="N108" s="8" t="s">
        <v>221</v>
      </c>
      <c r="O108" s="8"/>
    </row>
    <row r="109" spans="1:15" ht="42" x14ac:dyDescent="0.15">
      <c r="A109" s="15" t="s">
        <v>429</v>
      </c>
      <c r="B109" s="8" t="s">
        <v>421</v>
      </c>
      <c r="C109" s="8" t="s">
        <v>132</v>
      </c>
      <c r="D109" s="8" t="s">
        <v>430</v>
      </c>
      <c r="E109" s="13" t="s">
        <v>218</v>
      </c>
      <c r="F109" s="13" t="s">
        <v>255</v>
      </c>
      <c r="G109" s="13" t="s">
        <v>220</v>
      </c>
      <c r="H109" s="13" t="s">
        <v>157</v>
      </c>
      <c r="I109" s="13"/>
      <c r="J109" s="13"/>
      <c r="K109" s="13">
        <v>21</v>
      </c>
      <c r="L109" s="13"/>
      <c r="M109" s="13"/>
      <c r="N109" s="8" t="s">
        <v>221</v>
      </c>
      <c r="O109" s="8"/>
    </row>
    <row r="110" spans="1:15" ht="42" x14ac:dyDescent="0.15">
      <c r="A110" s="15" t="s">
        <v>431</v>
      </c>
      <c r="B110" s="8" t="s">
        <v>421</v>
      </c>
      <c r="C110" s="8" t="s">
        <v>132</v>
      </c>
      <c r="D110" s="8" t="s">
        <v>133</v>
      </c>
      <c r="E110" s="13" t="s">
        <v>228</v>
      </c>
      <c r="F110" s="13" t="s">
        <v>262</v>
      </c>
      <c r="G110" s="13" t="s">
        <v>220</v>
      </c>
      <c r="H110" s="13" t="s">
        <v>157</v>
      </c>
      <c r="I110" s="13"/>
      <c r="J110" s="13"/>
      <c r="K110" s="13">
        <v>24</v>
      </c>
      <c r="L110" s="13"/>
      <c r="M110" s="13"/>
      <c r="N110" s="8" t="s">
        <v>221</v>
      </c>
      <c r="O110" s="8"/>
    </row>
    <row r="111" spans="1:15" ht="42" x14ac:dyDescent="0.15">
      <c r="A111" s="15" t="s">
        <v>432</v>
      </c>
      <c r="B111" s="8" t="s">
        <v>421</v>
      </c>
      <c r="C111" s="8" t="s">
        <v>132</v>
      </c>
      <c r="D111" s="8" t="s">
        <v>433</v>
      </c>
      <c r="E111" s="13" t="s">
        <v>228</v>
      </c>
      <c r="F111" s="13" t="s">
        <v>234</v>
      </c>
      <c r="G111" s="13" t="s">
        <v>220</v>
      </c>
      <c r="H111" s="13" t="s">
        <v>157</v>
      </c>
      <c r="I111" s="13"/>
      <c r="J111" s="13"/>
      <c r="K111" s="13">
        <v>7</v>
      </c>
      <c r="L111" s="13"/>
      <c r="M111" s="13"/>
      <c r="N111" s="8" t="s">
        <v>221</v>
      </c>
      <c r="O111" s="8"/>
    </row>
    <row r="112" spans="1:15" ht="42" x14ac:dyDescent="0.15">
      <c r="A112" s="15" t="s">
        <v>434</v>
      </c>
      <c r="B112" s="8" t="s">
        <v>421</v>
      </c>
      <c r="C112" s="8" t="s">
        <v>132</v>
      </c>
      <c r="D112" s="8" t="s">
        <v>435</v>
      </c>
      <c r="E112" s="13" t="s">
        <v>228</v>
      </c>
      <c r="F112" s="13" t="s">
        <v>233</v>
      </c>
      <c r="G112" s="13" t="s">
        <v>220</v>
      </c>
      <c r="H112" s="13" t="s">
        <v>157</v>
      </c>
      <c r="I112" s="13"/>
      <c r="J112" s="13"/>
      <c r="K112" s="13">
        <v>12</v>
      </c>
      <c r="L112" s="13"/>
      <c r="M112" s="13"/>
      <c r="N112" s="8" t="s">
        <v>221</v>
      </c>
      <c r="O112" s="8"/>
    </row>
    <row r="113" spans="1:15" ht="70" x14ac:dyDescent="0.15">
      <c r="A113" s="15" t="s">
        <v>436</v>
      </c>
      <c r="B113" s="8" t="s">
        <v>421</v>
      </c>
      <c r="C113" s="8" t="s">
        <v>132</v>
      </c>
      <c r="D113" s="8" t="s">
        <v>437</v>
      </c>
      <c r="E113" s="13" t="s">
        <v>228</v>
      </c>
      <c r="F113" s="13" t="s">
        <v>352</v>
      </c>
      <c r="G113" s="13" t="s">
        <v>220</v>
      </c>
      <c r="H113" s="13" t="s">
        <v>157</v>
      </c>
      <c r="I113" s="13"/>
      <c r="J113" s="13"/>
      <c r="K113" s="13">
        <v>63</v>
      </c>
      <c r="L113" s="13"/>
      <c r="M113" s="13"/>
      <c r="N113" s="8" t="s">
        <v>221</v>
      </c>
      <c r="O113" s="8"/>
    </row>
    <row r="114" spans="1:15" ht="42" x14ac:dyDescent="0.15">
      <c r="A114" s="15" t="s">
        <v>438</v>
      </c>
      <c r="B114" s="8" t="s">
        <v>421</v>
      </c>
      <c r="C114" s="8" t="s">
        <v>132</v>
      </c>
      <c r="D114" s="8" t="s">
        <v>439</v>
      </c>
      <c r="E114" s="13" t="s">
        <v>228</v>
      </c>
      <c r="F114" s="13" t="s">
        <v>255</v>
      </c>
      <c r="G114" s="13" t="s">
        <v>220</v>
      </c>
      <c r="H114" s="13" t="s">
        <v>157</v>
      </c>
      <c r="I114" s="13"/>
      <c r="J114" s="13"/>
      <c r="K114" s="13">
        <v>21</v>
      </c>
      <c r="L114" s="13"/>
      <c r="M114" s="13"/>
      <c r="N114" s="8" t="s">
        <v>221</v>
      </c>
      <c r="O114" s="8"/>
    </row>
    <row r="115" spans="1:15" ht="42" x14ac:dyDescent="0.15">
      <c r="A115" s="15" t="s">
        <v>440</v>
      </c>
      <c r="B115" s="8" t="s">
        <v>421</v>
      </c>
      <c r="C115" s="8" t="s">
        <v>132</v>
      </c>
      <c r="D115" s="8" t="s">
        <v>441</v>
      </c>
      <c r="E115" s="13" t="s">
        <v>228</v>
      </c>
      <c r="F115" s="13" t="s">
        <v>241</v>
      </c>
      <c r="G115" s="13" t="s">
        <v>220</v>
      </c>
      <c r="H115" s="13" t="s">
        <v>157</v>
      </c>
      <c r="I115" s="13"/>
      <c r="J115" s="13"/>
      <c r="K115" s="13">
        <v>11</v>
      </c>
      <c r="L115" s="13"/>
      <c r="M115" s="13"/>
      <c r="N115" s="8" t="s">
        <v>221</v>
      </c>
      <c r="O115" s="8"/>
    </row>
    <row r="116" spans="1:15" ht="42" x14ac:dyDescent="0.15">
      <c r="A116" s="15" t="s">
        <v>442</v>
      </c>
      <c r="B116" s="8" t="s">
        <v>421</v>
      </c>
      <c r="C116" s="8" t="s">
        <v>132</v>
      </c>
      <c r="D116" s="8" t="s">
        <v>443</v>
      </c>
      <c r="E116" s="13" t="s">
        <v>228</v>
      </c>
      <c r="F116" s="13" t="s">
        <v>274</v>
      </c>
      <c r="G116" s="13" t="s">
        <v>220</v>
      </c>
      <c r="H116" s="13" t="s">
        <v>157</v>
      </c>
      <c r="I116" s="13"/>
      <c r="J116" s="13"/>
      <c r="K116" s="13">
        <v>30</v>
      </c>
      <c r="L116" s="13"/>
      <c r="M116" s="13"/>
      <c r="N116" s="8" t="s">
        <v>221</v>
      </c>
      <c r="O116" s="8"/>
    </row>
    <row r="117" spans="1:15" ht="28" x14ac:dyDescent="0.15">
      <c r="A117" s="15" t="s">
        <v>444</v>
      </c>
      <c r="B117" s="8" t="s">
        <v>445</v>
      </c>
      <c r="C117" s="8" t="s">
        <v>446</v>
      </c>
      <c r="D117" s="8" t="s">
        <v>447</v>
      </c>
      <c r="E117" s="13" t="s">
        <v>218</v>
      </c>
      <c r="F117" s="13" t="s">
        <v>256</v>
      </c>
      <c r="G117" s="13" t="s">
        <v>220</v>
      </c>
      <c r="H117" s="13" t="s">
        <v>157</v>
      </c>
      <c r="I117" s="13"/>
      <c r="J117" s="13"/>
      <c r="K117" s="13">
        <v>22</v>
      </c>
      <c r="L117" s="13"/>
      <c r="M117" s="13"/>
      <c r="N117" s="8" t="s">
        <v>221</v>
      </c>
      <c r="O117" s="8"/>
    </row>
    <row r="118" spans="1:15" ht="42" x14ac:dyDescent="0.15">
      <c r="A118" s="15" t="s">
        <v>448</v>
      </c>
      <c r="B118" s="8" t="s">
        <v>445</v>
      </c>
      <c r="C118" s="8" t="s">
        <v>446</v>
      </c>
      <c r="D118" s="8" t="s">
        <v>449</v>
      </c>
      <c r="E118" s="13" t="s">
        <v>218</v>
      </c>
      <c r="F118" s="13" t="s">
        <v>293</v>
      </c>
      <c r="G118" s="13" t="s">
        <v>220</v>
      </c>
      <c r="H118" s="13" t="s">
        <v>157</v>
      </c>
      <c r="I118" s="13"/>
      <c r="J118" s="13"/>
      <c r="K118" s="13">
        <v>36</v>
      </c>
      <c r="L118" s="13"/>
      <c r="M118" s="13"/>
      <c r="N118" s="8" t="s">
        <v>221</v>
      </c>
      <c r="O118" s="8"/>
    </row>
    <row r="119" spans="1:15" ht="28" x14ac:dyDescent="0.15">
      <c r="A119" s="15" t="s">
        <v>450</v>
      </c>
      <c r="B119" s="8" t="s">
        <v>445</v>
      </c>
      <c r="C119" s="8" t="s">
        <v>446</v>
      </c>
      <c r="D119" s="8" t="s">
        <v>451</v>
      </c>
      <c r="E119" s="13" t="s">
        <v>218</v>
      </c>
      <c r="F119" s="13" t="s">
        <v>269</v>
      </c>
      <c r="G119" s="13" t="s">
        <v>220</v>
      </c>
      <c r="H119" s="13" t="s">
        <v>157</v>
      </c>
      <c r="I119" s="13"/>
      <c r="J119" s="13"/>
      <c r="K119" s="13">
        <v>28</v>
      </c>
      <c r="L119" s="13"/>
      <c r="M119" s="13"/>
      <c r="N119" s="8" t="s">
        <v>221</v>
      </c>
      <c r="O119" s="8"/>
    </row>
    <row r="120" spans="1:15" ht="28" x14ac:dyDescent="0.15">
      <c r="A120" s="15" t="s">
        <v>452</v>
      </c>
      <c r="B120" s="8" t="s">
        <v>445</v>
      </c>
      <c r="C120" s="8" t="s">
        <v>446</v>
      </c>
      <c r="D120" s="8" t="s">
        <v>56</v>
      </c>
      <c r="E120" s="13" t="s">
        <v>218</v>
      </c>
      <c r="F120" s="13" t="s">
        <v>233</v>
      </c>
      <c r="G120" s="13" t="s">
        <v>220</v>
      </c>
      <c r="H120" s="13" t="s">
        <v>157</v>
      </c>
      <c r="I120" s="13"/>
      <c r="J120" s="13"/>
      <c r="K120" s="13">
        <v>12</v>
      </c>
      <c r="L120" s="13"/>
      <c r="M120" s="13"/>
      <c r="N120" s="8" t="s">
        <v>221</v>
      </c>
      <c r="O120" s="8"/>
    </row>
    <row r="121" spans="1:15" ht="42" x14ac:dyDescent="0.15">
      <c r="A121" s="15" t="s">
        <v>453</v>
      </c>
      <c r="B121" s="8" t="s">
        <v>445</v>
      </c>
      <c r="C121" s="8" t="s">
        <v>446</v>
      </c>
      <c r="D121" s="8" t="s">
        <v>454</v>
      </c>
      <c r="E121" s="13" t="s">
        <v>218</v>
      </c>
      <c r="F121" s="13" t="s">
        <v>293</v>
      </c>
      <c r="G121" s="13" t="s">
        <v>220</v>
      </c>
      <c r="H121" s="13" t="s">
        <v>157</v>
      </c>
      <c r="I121" s="13"/>
      <c r="J121" s="13"/>
      <c r="K121" s="13">
        <v>36</v>
      </c>
      <c r="L121" s="13"/>
      <c r="M121" s="13"/>
      <c r="N121" s="8" t="s">
        <v>221</v>
      </c>
      <c r="O121" s="8"/>
    </row>
    <row r="122" spans="1:15" ht="28" x14ac:dyDescent="0.15">
      <c r="A122" s="15" t="s">
        <v>455</v>
      </c>
      <c r="B122" s="8" t="s">
        <v>445</v>
      </c>
      <c r="C122" s="8" t="s">
        <v>446</v>
      </c>
      <c r="D122" s="8" t="s">
        <v>456</v>
      </c>
      <c r="E122" s="13" t="s">
        <v>218</v>
      </c>
      <c r="F122" s="13" t="s">
        <v>249</v>
      </c>
      <c r="G122" s="13" t="s">
        <v>220</v>
      </c>
      <c r="H122" s="13" t="s">
        <v>157</v>
      </c>
      <c r="I122" s="13"/>
      <c r="J122" s="13"/>
      <c r="K122" s="13">
        <v>15</v>
      </c>
      <c r="L122" s="13"/>
      <c r="M122" s="13"/>
      <c r="N122" s="8" t="s">
        <v>221</v>
      </c>
      <c r="O122" s="8"/>
    </row>
    <row r="123" spans="1:15" ht="28" x14ac:dyDescent="0.15">
      <c r="A123" s="15" t="s">
        <v>457</v>
      </c>
      <c r="B123" s="8" t="s">
        <v>445</v>
      </c>
      <c r="C123" s="8" t="s">
        <v>446</v>
      </c>
      <c r="D123" s="8" t="s">
        <v>458</v>
      </c>
      <c r="E123" s="13" t="s">
        <v>228</v>
      </c>
      <c r="F123" s="13" t="s">
        <v>230</v>
      </c>
      <c r="G123" s="13" t="s">
        <v>220</v>
      </c>
      <c r="H123" s="13" t="s">
        <v>157</v>
      </c>
      <c r="I123" s="13"/>
      <c r="J123" s="13"/>
      <c r="K123" s="13">
        <v>5</v>
      </c>
      <c r="L123" s="13"/>
      <c r="M123" s="13"/>
      <c r="N123" s="8" t="s">
        <v>221</v>
      </c>
      <c r="O123" s="8"/>
    </row>
    <row r="124" spans="1:15" ht="28" x14ac:dyDescent="0.15">
      <c r="A124" s="15" t="s">
        <v>459</v>
      </c>
      <c r="B124" s="8" t="s">
        <v>445</v>
      </c>
      <c r="C124" s="8" t="s">
        <v>446</v>
      </c>
      <c r="D124" s="8" t="s">
        <v>460</v>
      </c>
      <c r="E124" s="13" t="s">
        <v>228</v>
      </c>
      <c r="F124" s="13" t="s">
        <v>225</v>
      </c>
      <c r="G124" s="13" t="s">
        <v>220</v>
      </c>
      <c r="H124" s="13" t="s">
        <v>157</v>
      </c>
      <c r="I124" s="13"/>
      <c r="J124" s="13"/>
      <c r="K124" s="13">
        <v>18</v>
      </c>
      <c r="L124" s="13"/>
      <c r="M124" s="13"/>
      <c r="N124" s="8" t="s">
        <v>221</v>
      </c>
      <c r="O124" s="8"/>
    </row>
    <row r="125" spans="1:15" ht="28" x14ac:dyDescent="0.15">
      <c r="A125" s="15" t="s">
        <v>461</v>
      </c>
      <c r="B125" s="8" t="s">
        <v>445</v>
      </c>
      <c r="C125" s="8" t="s">
        <v>446</v>
      </c>
      <c r="D125" s="8" t="s">
        <v>462</v>
      </c>
      <c r="E125" s="13" t="s">
        <v>228</v>
      </c>
      <c r="F125" s="13" t="s">
        <v>236</v>
      </c>
      <c r="G125" s="13" t="s">
        <v>220</v>
      </c>
      <c r="H125" s="13" t="s">
        <v>157</v>
      </c>
      <c r="I125" s="13"/>
      <c r="J125" s="13"/>
      <c r="K125" s="13">
        <v>8</v>
      </c>
      <c r="L125" s="13"/>
      <c r="M125" s="13"/>
      <c r="N125" s="8" t="s">
        <v>221</v>
      </c>
      <c r="O125" s="8"/>
    </row>
    <row r="126" spans="1:15" ht="28" x14ac:dyDescent="0.15">
      <c r="A126" s="15" t="s">
        <v>463</v>
      </c>
      <c r="B126" s="8" t="s">
        <v>445</v>
      </c>
      <c r="C126" s="8" t="s">
        <v>446</v>
      </c>
      <c r="D126" s="8" t="s">
        <v>17</v>
      </c>
      <c r="E126" s="13" t="s">
        <v>228</v>
      </c>
      <c r="F126" s="13" t="s">
        <v>239</v>
      </c>
      <c r="G126" s="13" t="s">
        <v>220</v>
      </c>
      <c r="H126" s="13" t="s">
        <v>157</v>
      </c>
      <c r="I126" s="13"/>
      <c r="J126" s="13"/>
      <c r="K126" s="13">
        <v>10</v>
      </c>
      <c r="L126" s="13"/>
      <c r="M126" s="13"/>
      <c r="N126" s="8" t="s">
        <v>221</v>
      </c>
      <c r="O126" s="8"/>
    </row>
    <row r="127" spans="1:15" ht="28" x14ac:dyDescent="0.15">
      <c r="A127" s="15" t="s">
        <v>464</v>
      </c>
      <c r="B127" s="8" t="s">
        <v>445</v>
      </c>
      <c r="C127" s="8" t="s">
        <v>446</v>
      </c>
      <c r="D127" s="8" t="s">
        <v>465</v>
      </c>
      <c r="E127" s="13" t="s">
        <v>228</v>
      </c>
      <c r="F127" s="13" t="s">
        <v>239</v>
      </c>
      <c r="G127" s="13" t="s">
        <v>220</v>
      </c>
      <c r="H127" s="13" t="s">
        <v>157</v>
      </c>
      <c r="I127" s="13"/>
      <c r="J127" s="13"/>
      <c r="K127" s="13">
        <v>10</v>
      </c>
      <c r="L127" s="13"/>
      <c r="M127" s="13"/>
      <c r="N127" s="8" t="s">
        <v>221</v>
      </c>
      <c r="O127" s="8"/>
    </row>
    <row r="128" spans="1:15" ht="28" x14ac:dyDescent="0.15">
      <c r="A128" s="15" t="s">
        <v>466</v>
      </c>
      <c r="B128" s="8" t="s">
        <v>445</v>
      </c>
      <c r="C128" s="8" t="s">
        <v>446</v>
      </c>
      <c r="D128" s="8" t="s">
        <v>467</v>
      </c>
      <c r="E128" s="13" t="s">
        <v>228</v>
      </c>
      <c r="F128" s="13" t="s">
        <v>236</v>
      </c>
      <c r="G128" s="13" t="s">
        <v>220</v>
      </c>
      <c r="H128" s="13" t="s">
        <v>157</v>
      </c>
      <c r="I128" s="13"/>
      <c r="J128" s="13"/>
      <c r="K128" s="13">
        <v>8</v>
      </c>
      <c r="L128" s="13"/>
      <c r="M128" s="13"/>
      <c r="N128" s="8" t="s">
        <v>221</v>
      </c>
      <c r="O128" s="8"/>
    </row>
    <row r="129" spans="1:15" ht="28" x14ac:dyDescent="0.15">
      <c r="A129" s="15" t="s">
        <v>468</v>
      </c>
      <c r="B129" s="8" t="s">
        <v>469</v>
      </c>
      <c r="C129" s="8" t="s">
        <v>470</v>
      </c>
      <c r="D129" s="8" t="s">
        <v>471</v>
      </c>
      <c r="E129" s="13" t="s">
        <v>218</v>
      </c>
      <c r="F129" s="13" t="s">
        <v>262</v>
      </c>
      <c r="G129" s="13" t="s">
        <v>220</v>
      </c>
      <c r="H129" s="13" t="s">
        <v>157</v>
      </c>
      <c r="I129" s="13"/>
      <c r="J129" s="13"/>
      <c r="K129" s="13">
        <v>24</v>
      </c>
      <c r="L129" s="13"/>
      <c r="M129" s="13"/>
      <c r="N129" s="8" t="s">
        <v>221</v>
      </c>
      <c r="O129" s="8"/>
    </row>
    <row r="130" spans="1:15" ht="56" x14ac:dyDescent="0.15">
      <c r="A130" s="15" t="s">
        <v>472</v>
      </c>
      <c r="B130" s="8" t="s">
        <v>469</v>
      </c>
      <c r="C130" s="8" t="s">
        <v>470</v>
      </c>
      <c r="D130" s="8" t="s">
        <v>473</v>
      </c>
      <c r="E130" s="13" t="s">
        <v>218</v>
      </c>
      <c r="F130" s="13" t="s">
        <v>239</v>
      </c>
      <c r="G130" s="13" t="s">
        <v>153</v>
      </c>
      <c r="H130" s="13" t="s">
        <v>151</v>
      </c>
      <c r="I130" s="13" t="s">
        <v>474</v>
      </c>
      <c r="J130" s="13" t="s">
        <v>150</v>
      </c>
      <c r="K130" s="13">
        <v>10</v>
      </c>
      <c r="L130" s="13">
        <v>10</v>
      </c>
      <c r="M130" s="13">
        <v>0</v>
      </c>
      <c r="N130" s="8" t="s">
        <v>475</v>
      </c>
      <c r="O130" s="8" t="s">
        <v>476</v>
      </c>
    </row>
    <row r="131" spans="1:15" ht="56" x14ac:dyDescent="0.15">
      <c r="A131" s="15" t="s">
        <v>477</v>
      </c>
      <c r="B131" s="8" t="s">
        <v>469</v>
      </c>
      <c r="C131" s="8" t="s">
        <v>470</v>
      </c>
      <c r="D131" s="8" t="s">
        <v>478</v>
      </c>
      <c r="E131" s="13" t="s">
        <v>218</v>
      </c>
      <c r="F131" s="13" t="s">
        <v>236</v>
      </c>
      <c r="G131" s="13" t="s">
        <v>153</v>
      </c>
      <c r="H131" s="13" t="s">
        <v>151</v>
      </c>
      <c r="I131" s="13" t="s">
        <v>479</v>
      </c>
      <c r="J131" s="13" t="s">
        <v>150</v>
      </c>
      <c r="K131" s="13">
        <v>8</v>
      </c>
      <c r="L131" s="13">
        <v>8</v>
      </c>
      <c r="M131" s="13">
        <v>0</v>
      </c>
      <c r="N131" s="8" t="s">
        <v>480</v>
      </c>
      <c r="O131" s="8" t="s">
        <v>476</v>
      </c>
    </row>
    <row r="132" spans="1:15" ht="28" x14ac:dyDescent="0.15">
      <c r="A132" s="15" t="s">
        <v>481</v>
      </c>
      <c r="B132" s="8" t="s">
        <v>469</v>
      </c>
      <c r="C132" s="8" t="s">
        <v>470</v>
      </c>
      <c r="D132" s="8" t="s">
        <v>482</v>
      </c>
      <c r="E132" s="13" t="s">
        <v>218</v>
      </c>
      <c r="F132" s="13" t="s">
        <v>233</v>
      </c>
      <c r="G132" s="13" t="s">
        <v>220</v>
      </c>
      <c r="H132" s="13" t="s">
        <v>157</v>
      </c>
      <c r="I132" s="13"/>
      <c r="J132" s="13"/>
      <c r="K132" s="13">
        <v>12</v>
      </c>
      <c r="L132" s="13"/>
      <c r="M132" s="13"/>
      <c r="N132" s="8" t="s">
        <v>221</v>
      </c>
      <c r="O132" s="8"/>
    </row>
    <row r="133" spans="1:15" ht="56" x14ac:dyDescent="0.15">
      <c r="A133" s="15" t="s">
        <v>483</v>
      </c>
      <c r="B133" s="8" t="s">
        <v>469</v>
      </c>
      <c r="C133" s="8" t="s">
        <v>470</v>
      </c>
      <c r="D133" s="8" t="s">
        <v>484</v>
      </c>
      <c r="E133" s="13" t="s">
        <v>218</v>
      </c>
      <c r="F133" s="13" t="s">
        <v>315</v>
      </c>
      <c r="G133" s="13" t="s">
        <v>220</v>
      </c>
      <c r="H133" s="13" t="s">
        <v>157</v>
      </c>
      <c r="I133" s="13"/>
      <c r="J133" s="13"/>
      <c r="K133" s="13">
        <v>45</v>
      </c>
      <c r="L133" s="13"/>
      <c r="M133" s="13"/>
      <c r="N133" s="8" t="s">
        <v>221</v>
      </c>
      <c r="O133" s="8"/>
    </row>
    <row r="134" spans="1:15" ht="28" x14ac:dyDescent="0.15">
      <c r="A134" s="15" t="s">
        <v>485</v>
      </c>
      <c r="B134" s="8" t="s">
        <v>469</v>
      </c>
      <c r="C134" s="8" t="s">
        <v>470</v>
      </c>
      <c r="D134" s="8" t="s">
        <v>486</v>
      </c>
      <c r="E134" s="13" t="s">
        <v>228</v>
      </c>
      <c r="F134" s="13" t="s">
        <v>219</v>
      </c>
      <c r="G134" s="13" t="s">
        <v>220</v>
      </c>
      <c r="H134" s="13" t="s">
        <v>157</v>
      </c>
      <c r="I134" s="13"/>
      <c r="J134" s="13"/>
      <c r="K134" s="13">
        <v>27</v>
      </c>
      <c r="L134" s="13"/>
      <c r="M134" s="13"/>
      <c r="N134" s="8" t="s">
        <v>221</v>
      </c>
      <c r="O134" s="8"/>
    </row>
    <row r="135" spans="1:15" ht="56" x14ac:dyDescent="0.15">
      <c r="A135" s="15" t="s">
        <v>487</v>
      </c>
      <c r="B135" s="8" t="s">
        <v>469</v>
      </c>
      <c r="C135" s="8" t="s">
        <v>470</v>
      </c>
      <c r="D135" s="8" t="s">
        <v>488</v>
      </c>
      <c r="E135" s="13" t="s">
        <v>228</v>
      </c>
      <c r="F135" s="13" t="s">
        <v>250</v>
      </c>
      <c r="G135" s="13" t="s">
        <v>162</v>
      </c>
      <c r="H135" s="13" t="s">
        <v>151</v>
      </c>
      <c r="I135" s="13" t="s">
        <v>489</v>
      </c>
      <c r="J135" s="13" t="s">
        <v>164</v>
      </c>
      <c r="K135" s="13">
        <v>16</v>
      </c>
      <c r="L135" s="13">
        <v>16</v>
      </c>
      <c r="M135" s="13">
        <v>0</v>
      </c>
      <c r="N135" s="8" t="s">
        <v>490</v>
      </c>
      <c r="O135" s="8" t="s">
        <v>476</v>
      </c>
    </row>
    <row r="136" spans="1:15" ht="42" x14ac:dyDescent="0.15">
      <c r="A136" s="15" t="s">
        <v>491</v>
      </c>
      <c r="B136" s="8" t="s">
        <v>469</v>
      </c>
      <c r="C136" s="8" t="s">
        <v>470</v>
      </c>
      <c r="D136" s="8" t="s">
        <v>492</v>
      </c>
      <c r="E136" s="13" t="s">
        <v>228</v>
      </c>
      <c r="F136" s="13" t="s">
        <v>219</v>
      </c>
      <c r="G136" s="13" t="s">
        <v>220</v>
      </c>
      <c r="H136" s="13" t="s">
        <v>157</v>
      </c>
      <c r="I136" s="13"/>
      <c r="J136" s="13"/>
      <c r="K136" s="13">
        <v>27</v>
      </c>
      <c r="L136" s="13"/>
      <c r="M136" s="13"/>
      <c r="N136" s="8" t="s">
        <v>221</v>
      </c>
      <c r="O136" s="8"/>
    </row>
    <row r="137" spans="1:15" ht="56" x14ac:dyDescent="0.15">
      <c r="A137" s="15" t="s">
        <v>493</v>
      </c>
      <c r="B137" s="8" t="s">
        <v>469</v>
      </c>
      <c r="C137" s="8" t="s">
        <v>470</v>
      </c>
      <c r="D137" s="8" t="s">
        <v>494</v>
      </c>
      <c r="E137" s="13" t="s">
        <v>228</v>
      </c>
      <c r="F137" s="13" t="s">
        <v>343</v>
      </c>
      <c r="G137" s="13" t="s">
        <v>220</v>
      </c>
      <c r="H137" s="13" t="s">
        <v>157</v>
      </c>
      <c r="I137" s="13"/>
      <c r="J137" s="13"/>
      <c r="K137" s="13">
        <v>59</v>
      </c>
      <c r="L137" s="13"/>
      <c r="M137" s="13"/>
      <c r="N137" s="8" t="s">
        <v>221</v>
      </c>
      <c r="O137" s="8"/>
    </row>
    <row r="138" spans="1:15" ht="28" x14ac:dyDescent="0.15">
      <c r="A138" s="15" t="s">
        <v>495</v>
      </c>
      <c r="B138" s="8" t="s">
        <v>469</v>
      </c>
      <c r="C138" s="8" t="s">
        <v>470</v>
      </c>
      <c r="D138" s="8" t="s">
        <v>496</v>
      </c>
      <c r="E138" s="13" t="s">
        <v>228</v>
      </c>
      <c r="F138" s="13" t="s">
        <v>234</v>
      </c>
      <c r="G138" s="13" t="s">
        <v>220</v>
      </c>
      <c r="H138" s="13" t="s">
        <v>157</v>
      </c>
      <c r="I138" s="13"/>
      <c r="J138" s="13"/>
      <c r="K138" s="13">
        <v>7</v>
      </c>
      <c r="L138" s="13"/>
      <c r="M138" s="13"/>
      <c r="N138" s="8" t="s">
        <v>221</v>
      </c>
      <c r="O138" s="8"/>
    </row>
    <row r="139" spans="1:15" ht="28" x14ac:dyDescent="0.15">
      <c r="A139" s="15" t="s">
        <v>497</v>
      </c>
      <c r="B139" s="8" t="s">
        <v>469</v>
      </c>
      <c r="C139" s="8" t="s">
        <v>470</v>
      </c>
      <c r="D139" s="8" t="s">
        <v>498</v>
      </c>
      <c r="E139" s="13" t="s">
        <v>228</v>
      </c>
      <c r="F139" s="13" t="s">
        <v>231</v>
      </c>
      <c r="G139" s="13" t="s">
        <v>220</v>
      </c>
      <c r="H139" s="13" t="s">
        <v>157</v>
      </c>
      <c r="I139" s="13"/>
      <c r="J139" s="13"/>
      <c r="K139" s="13">
        <v>6</v>
      </c>
      <c r="L139" s="13"/>
      <c r="M139" s="13"/>
      <c r="N139" s="8" t="s">
        <v>221</v>
      </c>
      <c r="O139" s="8"/>
    </row>
    <row r="140" spans="1:15" ht="56" x14ac:dyDescent="0.15">
      <c r="A140" s="15" t="s">
        <v>499</v>
      </c>
      <c r="B140" s="8" t="s">
        <v>469</v>
      </c>
      <c r="C140" s="8" t="s">
        <v>470</v>
      </c>
      <c r="D140" s="8" t="s">
        <v>500</v>
      </c>
      <c r="E140" s="13" t="s">
        <v>228</v>
      </c>
      <c r="F140" s="13" t="s">
        <v>225</v>
      </c>
      <c r="G140" s="13" t="s">
        <v>164</v>
      </c>
      <c r="H140" s="13" t="s">
        <v>151</v>
      </c>
      <c r="I140" s="13" t="s">
        <v>501</v>
      </c>
      <c r="J140" s="13" t="s">
        <v>162</v>
      </c>
      <c r="K140" s="13">
        <v>18</v>
      </c>
      <c r="L140" s="13">
        <v>18</v>
      </c>
      <c r="M140" s="13">
        <v>0</v>
      </c>
      <c r="N140" s="8" t="s">
        <v>502</v>
      </c>
      <c r="O140" s="8" t="s">
        <v>476</v>
      </c>
    </row>
    <row r="141" spans="1:15" ht="28" x14ac:dyDescent="0.15">
      <c r="A141" s="15" t="s">
        <v>503</v>
      </c>
      <c r="B141" s="8" t="s">
        <v>504</v>
      </c>
      <c r="C141" s="8" t="s">
        <v>505</v>
      </c>
      <c r="D141" s="8" t="s">
        <v>117</v>
      </c>
      <c r="E141" s="13" t="s">
        <v>218</v>
      </c>
      <c r="F141" s="13" t="s">
        <v>241</v>
      </c>
      <c r="G141" s="13" t="s">
        <v>220</v>
      </c>
      <c r="H141" s="13" t="s">
        <v>157</v>
      </c>
      <c r="I141" s="13"/>
      <c r="J141" s="13"/>
      <c r="K141" s="13">
        <v>11</v>
      </c>
      <c r="L141" s="13"/>
      <c r="M141" s="13"/>
      <c r="N141" s="8" t="s">
        <v>221</v>
      </c>
      <c r="O141" s="8"/>
    </row>
    <row r="142" spans="1:15" ht="28" x14ac:dyDescent="0.15">
      <c r="A142" s="15" t="s">
        <v>506</v>
      </c>
      <c r="B142" s="8" t="s">
        <v>504</v>
      </c>
      <c r="C142" s="8" t="s">
        <v>505</v>
      </c>
      <c r="D142" s="8" t="s">
        <v>119</v>
      </c>
      <c r="E142" s="13" t="s">
        <v>218</v>
      </c>
      <c r="F142" s="13" t="s">
        <v>241</v>
      </c>
      <c r="G142" s="13" t="s">
        <v>220</v>
      </c>
      <c r="H142" s="13" t="s">
        <v>157</v>
      </c>
      <c r="I142" s="13"/>
      <c r="J142" s="13"/>
      <c r="K142" s="13">
        <v>11</v>
      </c>
      <c r="L142" s="13"/>
      <c r="M142" s="13"/>
      <c r="N142" s="8" t="s">
        <v>221</v>
      </c>
      <c r="O142" s="8"/>
    </row>
    <row r="143" spans="1:15" ht="28" x14ac:dyDescent="0.15">
      <c r="A143" s="15" t="s">
        <v>507</v>
      </c>
      <c r="B143" s="8" t="s">
        <v>504</v>
      </c>
      <c r="C143" s="8" t="s">
        <v>505</v>
      </c>
      <c r="D143" s="8" t="s">
        <v>508</v>
      </c>
      <c r="E143" s="13" t="s">
        <v>218</v>
      </c>
      <c r="F143" s="13" t="s">
        <v>256</v>
      </c>
      <c r="G143" s="13" t="s">
        <v>220</v>
      </c>
      <c r="H143" s="13" t="s">
        <v>157</v>
      </c>
      <c r="I143" s="13"/>
      <c r="J143" s="13"/>
      <c r="K143" s="13">
        <v>22</v>
      </c>
      <c r="L143" s="13"/>
      <c r="M143" s="13"/>
      <c r="N143" s="8" t="s">
        <v>221</v>
      </c>
      <c r="O143" s="8"/>
    </row>
    <row r="144" spans="1:15" ht="28" x14ac:dyDescent="0.15">
      <c r="A144" s="15" t="s">
        <v>509</v>
      </c>
      <c r="B144" s="8" t="s">
        <v>504</v>
      </c>
      <c r="C144" s="8" t="s">
        <v>505</v>
      </c>
      <c r="D144" s="8" t="s">
        <v>72</v>
      </c>
      <c r="E144" s="13" t="s">
        <v>228</v>
      </c>
      <c r="F144" s="13" t="s">
        <v>233</v>
      </c>
      <c r="G144" s="13" t="s">
        <v>220</v>
      </c>
      <c r="H144" s="13" t="s">
        <v>157</v>
      </c>
      <c r="I144" s="13"/>
      <c r="J144" s="13"/>
      <c r="K144" s="13">
        <v>12</v>
      </c>
      <c r="L144" s="13"/>
      <c r="M144" s="13"/>
      <c r="N144" s="8" t="s">
        <v>221</v>
      </c>
      <c r="O144" s="8"/>
    </row>
    <row r="145" spans="1:15" ht="28" x14ac:dyDescent="0.15">
      <c r="A145" s="15" t="s">
        <v>510</v>
      </c>
      <c r="B145" s="8" t="s">
        <v>504</v>
      </c>
      <c r="C145" s="8" t="s">
        <v>505</v>
      </c>
      <c r="D145" s="8" t="s">
        <v>50</v>
      </c>
      <c r="E145" s="13" t="s">
        <v>228</v>
      </c>
      <c r="F145" s="13" t="s">
        <v>223</v>
      </c>
      <c r="G145" s="13" t="s">
        <v>220</v>
      </c>
      <c r="H145" s="13" t="s">
        <v>157</v>
      </c>
      <c r="I145" s="13"/>
      <c r="J145" s="13"/>
      <c r="K145" s="13">
        <v>17</v>
      </c>
      <c r="L145" s="13"/>
      <c r="M145" s="13"/>
      <c r="N145" s="8" t="s">
        <v>221</v>
      </c>
      <c r="O145" s="8"/>
    </row>
    <row r="146" spans="1:15" ht="28" x14ac:dyDescent="0.15">
      <c r="A146" s="15" t="s">
        <v>511</v>
      </c>
      <c r="B146" s="8" t="s">
        <v>504</v>
      </c>
      <c r="C146" s="8" t="s">
        <v>505</v>
      </c>
      <c r="D146" s="8" t="s">
        <v>37</v>
      </c>
      <c r="E146" s="13" t="s">
        <v>228</v>
      </c>
      <c r="F146" s="13" t="s">
        <v>241</v>
      </c>
      <c r="G146" s="13" t="s">
        <v>220</v>
      </c>
      <c r="H146" s="13" t="s">
        <v>157</v>
      </c>
      <c r="I146" s="13"/>
      <c r="J146" s="13"/>
      <c r="K146" s="13">
        <v>11</v>
      </c>
      <c r="L146" s="13"/>
      <c r="M146" s="13"/>
      <c r="N146" s="8" t="s">
        <v>221</v>
      </c>
      <c r="O146" s="8"/>
    </row>
    <row r="147" spans="1:15" ht="28" x14ac:dyDescent="0.15">
      <c r="A147" s="15" t="s">
        <v>512</v>
      </c>
      <c r="B147" s="8" t="s">
        <v>513</v>
      </c>
      <c r="C147" s="8" t="s">
        <v>514</v>
      </c>
      <c r="D147" s="8" t="s">
        <v>66</v>
      </c>
      <c r="E147" s="13" t="s">
        <v>218</v>
      </c>
      <c r="F147" s="13" t="s">
        <v>223</v>
      </c>
      <c r="G147" s="13" t="s">
        <v>220</v>
      </c>
      <c r="H147" s="13" t="s">
        <v>157</v>
      </c>
      <c r="I147" s="13"/>
      <c r="J147" s="13"/>
      <c r="K147" s="13">
        <v>17</v>
      </c>
      <c r="L147" s="13"/>
      <c r="M147" s="13"/>
      <c r="N147" s="8" t="s">
        <v>221</v>
      </c>
      <c r="O147" s="8"/>
    </row>
    <row r="148" spans="1:15" ht="28" x14ac:dyDescent="0.15">
      <c r="A148" s="15" t="s">
        <v>515</v>
      </c>
      <c r="B148" s="8" t="s">
        <v>513</v>
      </c>
      <c r="C148" s="8" t="s">
        <v>514</v>
      </c>
      <c r="D148" s="8" t="s">
        <v>516</v>
      </c>
      <c r="E148" s="13" t="s">
        <v>218</v>
      </c>
      <c r="F148" s="13" t="s">
        <v>230</v>
      </c>
      <c r="G148" s="13" t="s">
        <v>220</v>
      </c>
      <c r="H148" s="13" t="s">
        <v>157</v>
      </c>
      <c r="I148" s="13"/>
      <c r="J148" s="13"/>
      <c r="K148" s="13">
        <v>5</v>
      </c>
      <c r="L148" s="13"/>
      <c r="M148" s="13"/>
      <c r="N148" s="8" t="s">
        <v>221</v>
      </c>
      <c r="O148" s="8"/>
    </row>
    <row r="149" spans="1:15" ht="28" x14ac:dyDescent="0.15">
      <c r="A149" s="15" t="s">
        <v>517</v>
      </c>
      <c r="B149" s="8" t="s">
        <v>513</v>
      </c>
      <c r="C149" s="8" t="s">
        <v>514</v>
      </c>
      <c r="D149" s="8" t="s">
        <v>103</v>
      </c>
      <c r="E149" s="13" t="s">
        <v>218</v>
      </c>
      <c r="F149" s="13" t="s">
        <v>240</v>
      </c>
      <c r="G149" s="13" t="s">
        <v>220</v>
      </c>
      <c r="H149" s="13" t="s">
        <v>157</v>
      </c>
      <c r="I149" s="13"/>
      <c r="J149" s="13"/>
      <c r="K149" s="13">
        <v>13</v>
      </c>
      <c r="L149" s="13"/>
      <c r="M149" s="13"/>
      <c r="N149" s="8" t="s">
        <v>221</v>
      </c>
      <c r="O149" s="8"/>
    </row>
    <row r="150" spans="1:15" ht="28" x14ac:dyDescent="0.15">
      <c r="A150" s="15" t="s">
        <v>518</v>
      </c>
      <c r="B150" s="8" t="s">
        <v>513</v>
      </c>
      <c r="C150" s="8" t="s">
        <v>514</v>
      </c>
      <c r="D150" s="8" t="s">
        <v>519</v>
      </c>
      <c r="E150" s="13" t="s">
        <v>218</v>
      </c>
      <c r="F150" s="13" t="s">
        <v>231</v>
      </c>
      <c r="G150" s="13" t="s">
        <v>220</v>
      </c>
      <c r="H150" s="13" t="s">
        <v>157</v>
      </c>
      <c r="I150" s="13"/>
      <c r="J150" s="13"/>
      <c r="K150" s="13">
        <v>6</v>
      </c>
      <c r="L150" s="13"/>
      <c r="M150" s="13"/>
      <c r="N150" s="8" t="s">
        <v>221</v>
      </c>
      <c r="O150" s="8"/>
    </row>
    <row r="151" spans="1:15" ht="28" x14ac:dyDescent="0.15">
      <c r="A151" s="15" t="s">
        <v>520</v>
      </c>
      <c r="B151" s="8" t="s">
        <v>513</v>
      </c>
      <c r="C151" s="8" t="s">
        <v>514</v>
      </c>
      <c r="D151" s="8" t="s">
        <v>69</v>
      </c>
      <c r="E151" s="13" t="s">
        <v>218</v>
      </c>
      <c r="F151" s="13" t="s">
        <v>250</v>
      </c>
      <c r="G151" s="13" t="s">
        <v>220</v>
      </c>
      <c r="H151" s="13" t="s">
        <v>157</v>
      </c>
      <c r="I151" s="13"/>
      <c r="J151" s="13"/>
      <c r="K151" s="13">
        <v>16</v>
      </c>
      <c r="L151" s="13"/>
      <c r="M151" s="13"/>
      <c r="N151" s="8" t="s">
        <v>221</v>
      </c>
      <c r="O151" s="8"/>
    </row>
    <row r="152" spans="1:15" ht="70" x14ac:dyDescent="0.15">
      <c r="A152" s="15" t="s">
        <v>521</v>
      </c>
      <c r="B152" s="8" t="s">
        <v>513</v>
      </c>
      <c r="C152" s="8" t="s">
        <v>514</v>
      </c>
      <c r="D152" s="8" t="s">
        <v>522</v>
      </c>
      <c r="E152" s="13" t="s">
        <v>218</v>
      </c>
      <c r="F152" s="13" t="s">
        <v>354</v>
      </c>
      <c r="G152" s="13" t="s">
        <v>220</v>
      </c>
      <c r="H152" s="13" t="s">
        <v>157</v>
      </c>
      <c r="I152" s="13"/>
      <c r="J152" s="13"/>
      <c r="K152" s="13">
        <v>65</v>
      </c>
      <c r="L152" s="13"/>
      <c r="M152" s="13"/>
      <c r="N152" s="8" t="s">
        <v>221</v>
      </c>
      <c r="O152" s="8"/>
    </row>
    <row r="153" spans="1:15" ht="28" x14ac:dyDescent="0.15">
      <c r="A153" s="15" t="s">
        <v>523</v>
      </c>
      <c r="B153" s="8" t="s">
        <v>513</v>
      </c>
      <c r="C153" s="8" t="s">
        <v>514</v>
      </c>
      <c r="D153" s="8" t="s">
        <v>524</v>
      </c>
      <c r="E153" s="13" t="s">
        <v>228</v>
      </c>
      <c r="F153" s="13" t="s">
        <v>240</v>
      </c>
      <c r="G153" s="13" t="s">
        <v>220</v>
      </c>
      <c r="H153" s="13" t="s">
        <v>157</v>
      </c>
      <c r="I153" s="13"/>
      <c r="J153" s="13"/>
      <c r="K153" s="13">
        <v>13</v>
      </c>
      <c r="L153" s="13"/>
      <c r="M153" s="13"/>
      <c r="N153" s="8" t="s">
        <v>221</v>
      </c>
      <c r="O153" s="8"/>
    </row>
    <row r="154" spans="1:15" ht="28" x14ac:dyDescent="0.15">
      <c r="A154" s="15" t="s">
        <v>525</v>
      </c>
      <c r="B154" s="8" t="s">
        <v>513</v>
      </c>
      <c r="C154" s="8" t="s">
        <v>514</v>
      </c>
      <c r="D154" s="8" t="s">
        <v>137</v>
      </c>
      <c r="E154" s="13" t="s">
        <v>228</v>
      </c>
      <c r="F154" s="13" t="s">
        <v>225</v>
      </c>
      <c r="G154" s="13" t="s">
        <v>220</v>
      </c>
      <c r="H154" s="13" t="s">
        <v>157</v>
      </c>
      <c r="I154" s="13"/>
      <c r="J154" s="13"/>
      <c r="K154" s="13">
        <v>18</v>
      </c>
      <c r="L154" s="13"/>
      <c r="M154" s="13"/>
      <c r="N154" s="8" t="s">
        <v>221</v>
      </c>
      <c r="O154" s="8"/>
    </row>
    <row r="155" spans="1:15" ht="28" x14ac:dyDescent="0.15">
      <c r="A155" s="15" t="s">
        <v>526</v>
      </c>
      <c r="B155" s="8" t="s">
        <v>513</v>
      </c>
      <c r="C155" s="8" t="s">
        <v>514</v>
      </c>
      <c r="D155" s="8" t="s">
        <v>527</v>
      </c>
      <c r="E155" s="13" t="s">
        <v>228</v>
      </c>
      <c r="F155" s="13" t="s">
        <v>236</v>
      </c>
      <c r="G155" s="13" t="s">
        <v>220</v>
      </c>
      <c r="H155" s="13" t="s">
        <v>157</v>
      </c>
      <c r="I155" s="13"/>
      <c r="J155" s="13"/>
      <c r="K155" s="13">
        <v>8</v>
      </c>
      <c r="L155" s="13"/>
      <c r="M155" s="13"/>
      <c r="N155" s="8" t="s">
        <v>221</v>
      </c>
      <c r="O155" s="8"/>
    </row>
    <row r="156" spans="1:15" ht="28" x14ac:dyDescent="0.15">
      <c r="A156" s="15" t="s">
        <v>528</v>
      </c>
      <c r="B156" s="8" t="s">
        <v>513</v>
      </c>
      <c r="C156" s="8" t="s">
        <v>514</v>
      </c>
      <c r="D156" s="8" t="s">
        <v>124</v>
      </c>
      <c r="E156" s="13" t="s">
        <v>228</v>
      </c>
      <c r="F156" s="13" t="s">
        <v>251</v>
      </c>
      <c r="G156" s="13" t="s">
        <v>220</v>
      </c>
      <c r="H156" s="13" t="s">
        <v>157</v>
      </c>
      <c r="I156" s="13"/>
      <c r="J156" s="13"/>
      <c r="K156" s="13">
        <v>20</v>
      </c>
      <c r="L156" s="13"/>
      <c r="M156" s="13"/>
      <c r="N156" s="8" t="s">
        <v>221</v>
      </c>
      <c r="O156" s="8"/>
    </row>
    <row r="157" spans="1:15" ht="28" x14ac:dyDescent="0.15">
      <c r="A157" s="15" t="s">
        <v>529</v>
      </c>
      <c r="B157" s="8" t="s">
        <v>513</v>
      </c>
      <c r="C157" s="8" t="s">
        <v>514</v>
      </c>
      <c r="D157" s="8" t="s">
        <v>530</v>
      </c>
      <c r="E157" s="13" t="s">
        <v>228</v>
      </c>
      <c r="F157" s="13" t="s">
        <v>250</v>
      </c>
      <c r="G157" s="13" t="s">
        <v>220</v>
      </c>
      <c r="H157" s="13" t="s">
        <v>157</v>
      </c>
      <c r="I157" s="13"/>
      <c r="J157" s="13"/>
      <c r="K157" s="13">
        <v>16</v>
      </c>
      <c r="L157" s="13"/>
      <c r="M157" s="13"/>
      <c r="N157" s="8" t="s">
        <v>221</v>
      </c>
      <c r="O157" s="8"/>
    </row>
    <row r="158" spans="1:15" ht="28" x14ac:dyDescent="0.15">
      <c r="A158" s="15" t="s">
        <v>531</v>
      </c>
      <c r="B158" s="8" t="s">
        <v>513</v>
      </c>
      <c r="C158" s="8" t="s">
        <v>514</v>
      </c>
      <c r="D158" s="8" t="s">
        <v>58</v>
      </c>
      <c r="E158" s="13" t="s">
        <v>228</v>
      </c>
      <c r="F158" s="13" t="s">
        <v>250</v>
      </c>
      <c r="G158" s="13" t="s">
        <v>220</v>
      </c>
      <c r="H158" s="13" t="s">
        <v>157</v>
      </c>
      <c r="I158" s="13"/>
      <c r="J158" s="13"/>
      <c r="K158" s="13">
        <v>16</v>
      </c>
      <c r="L158" s="13"/>
      <c r="M158" s="13"/>
      <c r="N158" s="8" t="s">
        <v>221</v>
      </c>
      <c r="O158" s="8"/>
    </row>
    <row r="159" spans="1:15" ht="42" x14ac:dyDescent="0.15">
      <c r="A159" s="15" t="s">
        <v>532</v>
      </c>
      <c r="B159" s="8" t="s">
        <v>513</v>
      </c>
      <c r="C159" s="8" t="s">
        <v>514</v>
      </c>
      <c r="D159" s="8" t="s">
        <v>533</v>
      </c>
      <c r="E159" s="13" t="s">
        <v>228</v>
      </c>
      <c r="F159" s="13" t="s">
        <v>293</v>
      </c>
      <c r="G159" s="13" t="s">
        <v>220</v>
      </c>
      <c r="H159" s="13" t="s">
        <v>157</v>
      </c>
      <c r="I159" s="13"/>
      <c r="J159" s="13"/>
      <c r="K159" s="13">
        <v>36</v>
      </c>
      <c r="L159" s="13"/>
      <c r="M159" s="13"/>
      <c r="N159" s="8" t="s">
        <v>221</v>
      </c>
      <c r="O159" s="8"/>
    </row>
    <row r="160" spans="1:15" ht="28" x14ac:dyDescent="0.15">
      <c r="A160" s="15" t="s">
        <v>534</v>
      </c>
      <c r="B160" s="8" t="s">
        <v>535</v>
      </c>
      <c r="C160" s="8" t="s">
        <v>138</v>
      </c>
      <c r="D160" s="8" t="s">
        <v>536</v>
      </c>
      <c r="E160" s="13" t="s">
        <v>218</v>
      </c>
      <c r="F160" s="13" t="s">
        <v>238</v>
      </c>
      <c r="G160" s="13" t="s">
        <v>220</v>
      </c>
      <c r="H160" s="13" t="s">
        <v>157</v>
      </c>
      <c r="I160" s="13"/>
      <c r="J160" s="13"/>
      <c r="K160" s="13">
        <v>9</v>
      </c>
      <c r="L160" s="13"/>
      <c r="M160" s="13"/>
      <c r="N160" s="8" t="s">
        <v>221</v>
      </c>
      <c r="O160" s="8"/>
    </row>
    <row r="161" spans="1:15" ht="28" x14ac:dyDescent="0.15">
      <c r="A161" s="15" t="s">
        <v>537</v>
      </c>
      <c r="B161" s="8" t="s">
        <v>535</v>
      </c>
      <c r="C161" s="8" t="s">
        <v>138</v>
      </c>
      <c r="D161" s="8" t="s">
        <v>538</v>
      </c>
      <c r="E161" s="13" t="s">
        <v>218</v>
      </c>
      <c r="F161" s="13" t="s">
        <v>238</v>
      </c>
      <c r="G161" s="13" t="s">
        <v>220</v>
      </c>
      <c r="H161" s="13" t="s">
        <v>157</v>
      </c>
      <c r="I161" s="13"/>
      <c r="J161" s="13"/>
      <c r="K161" s="13">
        <v>9</v>
      </c>
      <c r="L161" s="13"/>
      <c r="M161" s="13"/>
      <c r="N161" s="8" t="s">
        <v>221</v>
      </c>
      <c r="O161" s="8"/>
    </row>
    <row r="162" spans="1:15" ht="28" x14ac:dyDescent="0.15">
      <c r="A162" s="15" t="s">
        <v>539</v>
      </c>
      <c r="B162" s="8" t="s">
        <v>535</v>
      </c>
      <c r="C162" s="8" t="s">
        <v>138</v>
      </c>
      <c r="D162" s="8" t="s">
        <v>540</v>
      </c>
      <c r="E162" s="13" t="s">
        <v>218</v>
      </c>
      <c r="F162" s="13" t="s">
        <v>246</v>
      </c>
      <c r="G162" s="13" t="s">
        <v>220</v>
      </c>
      <c r="H162" s="13" t="s">
        <v>157</v>
      </c>
      <c r="I162" s="13"/>
      <c r="J162" s="13"/>
      <c r="K162" s="13">
        <v>14</v>
      </c>
      <c r="L162" s="13"/>
      <c r="M162" s="13"/>
      <c r="N162" s="8" t="s">
        <v>221</v>
      </c>
      <c r="O162" s="8"/>
    </row>
    <row r="163" spans="1:15" ht="28" x14ac:dyDescent="0.15">
      <c r="A163" s="15" t="s">
        <v>541</v>
      </c>
      <c r="B163" s="8" t="s">
        <v>535</v>
      </c>
      <c r="C163" s="8" t="s">
        <v>138</v>
      </c>
      <c r="D163" s="8" t="s">
        <v>139</v>
      </c>
      <c r="E163" s="13" t="s">
        <v>228</v>
      </c>
      <c r="F163" s="13" t="s">
        <v>236</v>
      </c>
      <c r="G163" s="13" t="s">
        <v>220</v>
      </c>
      <c r="H163" s="13" t="s">
        <v>157</v>
      </c>
      <c r="I163" s="13"/>
      <c r="J163" s="13"/>
      <c r="K163" s="13">
        <v>8</v>
      </c>
      <c r="L163" s="13"/>
      <c r="M163" s="13"/>
      <c r="N163" s="8" t="s">
        <v>221</v>
      </c>
      <c r="O163" s="8"/>
    </row>
    <row r="164" spans="1:15" ht="28" x14ac:dyDescent="0.15">
      <c r="A164" s="15" t="s">
        <v>542</v>
      </c>
      <c r="B164" s="8" t="s">
        <v>535</v>
      </c>
      <c r="C164" s="8" t="s">
        <v>138</v>
      </c>
      <c r="D164" s="8" t="s">
        <v>543</v>
      </c>
      <c r="E164" s="13" t="s">
        <v>228</v>
      </c>
      <c r="F164" s="13" t="s">
        <v>239</v>
      </c>
      <c r="G164" s="13" t="s">
        <v>220</v>
      </c>
      <c r="H164" s="13" t="s">
        <v>157</v>
      </c>
      <c r="I164" s="13"/>
      <c r="J164" s="13"/>
      <c r="K164" s="13">
        <v>10</v>
      </c>
      <c r="L164" s="13"/>
      <c r="M164" s="13"/>
      <c r="N164" s="8" t="s">
        <v>221</v>
      </c>
      <c r="O164" s="8"/>
    </row>
    <row r="165" spans="1:15" ht="28" x14ac:dyDescent="0.15">
      <c r="A165" s="15" t="s">
        <v>544</v>
      </c>
      <c r="B165" s="8" t="s">
        <v>535</v>
      </c>
      <c r="C165" s="8" t="s">
        <v>138</v>
      </c>
      <c r="D165" s="8" t="s">
        <v>545</v>
      </c>
      <c r="E165" s="13" t="s">
        <v>228</v>
      </c>
      <c r="F165" s="13" t="s">
        <v>234</v>
      </c>
      <c r="G165" s="13" t="s">
        <v>220</v>
      </c>
      <c r="H165" s="13" t="s">
        <v>157</v>
      </c>
      <c r="I165" s="13"/>
      <c r="J165" s="13"/>
      <c r="K165" s="13">
        <v>7</v>
      </c>
      <c r="L165" s="13"/>
      <c r="M165" s="13"/>
      <c r="N165" s="8" t="s">
        <v>221</v>
      </c>
      <c r="O165" s="8"/>
    </row>
    <row r="166" spans="1:15" ht="28" x14ac:dyDescent="0.15">
      <c r="A166" s="15" t="s">
        <v>546</v>
      </c>
      <c r="B166" s="8" t="s">
        <v>547</v>
      </c>
      <c r="C166" s="8" t="s">
        <v>548</v>
      </c>
      <c r="D166" s="8" t="s">
        <v>45</v>
      </c>
      <c r="E166" s="13" t="s">
        <v>218</v>
      </c>
      <c r="F166" s="13" t="s">
        <v>233</v>
      </c>
      <c r="G166" s="13" t="s">
        <v>220</v>
      </c>
      <c r="H166" s="13" t="s">
        <v>157</v>
      </c>
      <c r="I166" s="13"/>
      <c r="J166" s="13"/>
      <c r="K166" s="13">
        <v>12</v>
      </c>
      <c r="L166" s="13"/>
      <c r="M166" s="13"/>
      <c r="N166" s="8" t="s">
        <v>221</v>
      </c>
      <c r="O166" s="8"/>
    </row>
    <row r="167" spans="1:15" ht="28" x14ac:dyDescent="0.15">
      <c r="A167" s="15" t="s">
        <v>549</v>
      </c>
      <c r="B167" s="8" t="s">
        <v>547</v>
      </c>
      <c r="C167" s="8" t="s">
        <v>548</v>
      </c>
      <c r="D167" s="8" t="s">
        <v>59</v>
      </c>
      <c r="E167" s="13" t="s">
        <v>218</v>
      </c>
      <c r="F167" s="13" t="s">
        <v>233</v>
      </c>
      <c r="G167" s="13" t="s">
        <v>220</v>
      </c>
      <c r="H167" s="13" t="s">
        <v>157</v>
      </c>
      <c r="I167" s="13"/>
      <c r="J167" s="13"/>
      <c r="K167" s="13">
        <v>12</v>
      </c>
      <c r="L167" s="13"/>
      <c r="M167" s="13"/>
      <c r="N167" s="8" t="s">
        <v>221</v>
      </c>
      <c r="O167" s="8"/>
    </row>
    <row r="168" spans="1:15" ht="28" x14ac:dyDescent="0.15">
      <c r="A168" s="15" t="s">
        <v>550</v>
      </c>
      <c r="B168" s="8" t="s">
        <v>547</v>
      </c>
      <c r="C168" s="8" t="s">
        <v>548</v>
      </c>
      <c r="D168" s="8" t="s">
        <v>74</v>
      </c>
      <c r="E168" s="13" t="s">
        <v>218</v>
      </c>
      <c r="F168" s="13" t="s">
        <v>240</v>
      </c>
      <c r="G168" s="13" t="s">
        <v>220</v>
      </c>
      <c r="H168" s="13" t="s">
        <v>157</v>
      </c>
      <c r="I168" s="13"/>
      <c r="J168" s="13"/>
      <c r="K168" s="13">
        <v>13</v>
      </c>
      <c r="L168" s="13"/>
      <c r="M168" s="13"/>
      <c r="N168" s="8" t="s">
        <v>221</v>
      </c>
      <c r="O168" s="8"/>
    </row>
    <row r="169" spans="1:15" ht="28" x14ac:dyDescent="0.15">
      <c r="A169" s="15" t="s">
        <v>551</v>
      </c>
      <c r="B169" s="8" t="s">
        <v>547</v>
      </c>
      <c r="C169" s="8" t="s">
        <v>548</v>
      </c>
      <c r="D169" s="8" t="s">
        <v>552</v>
      </c>
      <c r="E169" s="13" t="s">
        <v>218</v>
      </c>
      <c r="F169" s="13" t="s">
        <v>236</v>
      </c>
      <c r="G169" s="13" t="s">
        <v>220</v>
      </c>
      <c r="H169" s="13" t="s">
        <v>157</v>
      </c>
      <c r="I169" s="13"/>
      <c r="J169" s="13"/>
      <c r="K169" s="13">
        <v>8</v>
      </c>
      <c r="L169" s="13"/>
      <c r="M169" s="13"/>
      <c r="N169" s="8" t="s">
        <v>221</v>
      </c>
      <c r="O169" s="8"/>
    </row>
    <row r="170" spans="1:15" ht="28" x14ac:dyDescent="0.15">
      <c r="A170" s="15" t="s">
        <v>553</v>
      </c>
      <c r="B170" s="8" t="s">
        <v>547</v>
      </c>
      <c r="C170" s="8" t="s">
        <v>548</v>
      </c>
      <c r="D170" s="8" t="s">
        <v>554</v>
      </c>
      <c r="E170" s="13" t="s">
        <v>228</v>
      </c>
      <c r="F170" s="13" t="s">
        <v>240</v>
      </c>
      <c r="G170" s="13" t="s">
        <v>220</v>
      </c>
      <c r="H170" s="13" t="s">
        <v>157</v>
      </c>
      <c r="I170" s="13"/>
      <c r="J170" s="13"/>
      <c r="K170" s="13">
        <v>13</v>
      </c>
      <c r="L170" s="13"/>
      <c r="M170" s="13"/>
      <c r="N170" s="8" t="s">
        <v>221</v>
      </c>
      <c r="O170" s="8"/>
    </row>
    <row r="171" spans="1:15" ht="28" x14ac:dyDescent="0.15">
      <c r="A171" s="15" t="s">
        <v>555</v>
      </c>
      <c r="B171" s="8" t="s">
        <v>547</v>
      </c>
      <c r="C171" s="8" t="s">
        <v>548</v>
      </c>
      <c r="D171" s="8" t="s">
        <v>556</v>
      </c>
      <c r="E171" s="13" t="s">
        <v>228</v>
      </c>
      <c r="F171" s="13" t="s">
        <v>231</v>
      </c>
      <c r="G171" s="13" t="s">
        <v>220</v>
      </c>
      <c r="H171" s="13" t="s">
        <v>157</v>
      </c>
      <c r="I171" s="13"/>
      <c r="J171" s="13"/>
      <c r="K171" s="13">
        <v>6</v>
      </c>
      <c r="L171" s="13"/>
      <c r="M171" s="13"/>
      <c r="N171" s="8" t="s">
        <v>221</v>
      </c>
      <c r="O171" s="8"/>
    </row>
    <row r="172" spans="1:15" ht="28" x14ac:dyDescent="0.15">
      <c r="A172" s="15" t="s">
        <v>557</v>
      </c>
      <c r="B172" s="8" t="s">
        <v>547</v>
      </c>
      <c r="C172" s="8" t="s">
        <v>548</v>
      </c>
      <c r="D172" s="8" t="s">
        <v>558</v>
      </c>
      <c r="E172" s="13" t="s">
        <v>228</v>
      </c>
      <c r="F172" s="13" t="s">
        <v>236</v>
      </c>
      <c r="G172" s="13" t="s">
        <v>220</v>
      </c>
      <c r="H172" s="13" t="s">
        <v>157</v>
      </c>
      <c r="I172" s="13"/>
      <c r="J172" s="13"/>
      <c r="K172" s="13">
        <v>8</v>
      </c>
      <c r="L172" s="13"/>
      <c r="M172" s="13"/>
      <c r="N172" s="8" t="s">
        <v>221</v>
      </c>
      <c r="O172" s="8"/>
    </row>
    <row r="173" spans="1:15" ht="28" x14ac:dyDescent="0.15">
      <c r="A173" s="15" t="s">
        <v>559</v>
      </c>
      <c r="B173" s="8" t="s">
        <v>547</v>
      </c>
      <c r="C173" s="8" t="s">
        <v>548</v>
      </c>
      <c r="D173" s="8" t="s">
        <v>81</v>
      </c>
      <c r="E173" s="13" t="s">
        <v>228</v>
      </c>
      <c r="F173" s="13" t="s">
        <v>233</v>
      </c>
      <c r="G173" s="13" t="s">
        <v>220</v>
      </c>
      <c r="H173" s="13" t="s">
        <v>157</v>
      </c>
      <c r="I173" s="13"/>
      <c r="J173" s="13"/>
      <c r="K173" s="13">
        <v>12</v>
      </c>
      <c r="L173" s="13"/>
      <c r="M173" s="13"/>
      <c r="N173" s="8" t="s">
        <v>221</v>
      </c>
      <c r="O173" s="8"/>
    </row>
    <row r="174" spans="1:15" ht="28" x14ac:dyDescent="0.15">
      <c r="A174" s="15" t="s">
        <v>560</v>
      </c>
      <c r="B174" s="8" t="s">
        <v>547</v>
      </c>
      <c r="C174" s="8" t="s">
        <v>548</v>
      </c>
      <c r="D174" s="8" t="s">
        <v>561</v>
      </c>
      <c r="E174" s="13" t="s">
        <v>228</v>
      </c>
      <c r="F174" s="13" t="s">
        <v>250</v>
      </c>
      <c r="G174" s="13" t="s">
        <v>220</v>
      </c>
      <c r="H174" s="13" t="s">
        <v>157</v>
      </c>
      <c r="I174" s="13"/>
      <c r="J174" s="13"/>
      <c r="K174" s="13">
        <v>16</v>
      </c>
      <c r="L174" s="13"/>
      <c r="M174" s="13"/>
      <c r="N174" s="8" t="s">
        <v>221</v>
      </c>
      <c r="O174" s="8"/>
    </row>
    <row r="175" spans="1:15" ht="28" x14ac:dyDescent="0.15">
      <c r="A175" s="15" t="s">
        <v>562</v>
      </c>
      <c r="B175" s="8" t="s">
        <v>563</v>
      </c>
      <c r="C175" s="8" t="s">
        <v>564</v>
      </c>
      <c r="D175" s="8" t="s">
        <v>101</v>
      </c>
      <c r="E175" s="13" t="s">
        <v>218</v>
      </c>
      <c r="F175" s="13" t="s">
        <v>250</v>
      </c>
      <c r="G175" s="13" t="s">
        <v>220</v>
      </c>
      <c r="H175" s="13" t="s">
        <v>157</v>
      </c>
      <c r="I175" s="13"/>
      <c r="J175" s="13"/>
      <c r="K175" s="13">
        <v>16</v>
      </c>
      <c r="L175" s="13"/>
      <c r="M175" s="13"/>
      <c r="N175" s="8" t="s">
        <v>221</v>
      </c>
      <c r="O175" s="8"/>
    </row>
    <row r="176" spans="1:15" ht="28" x14ac:dyDescent="0.15">
      <c r="A176" s="15" t="s">
        <v>565</v>
      </c>
      <c r="B176" s="8" t="s">
        <v>563</v>
      </c>
      <c r="C176" s="8" t="s">
        <v>564</v>
      </c>
      <c r="D176" s="8" t="s">
        <v>80</v>
      </c>
      <c r="E176" s="13" t="s">
        <v>218</v>
      </c>
      <c r="F176" s="13" t="s">
        <v>246</v>
      </c>
      <c r="G176" s="13" t="s">
        <v>220</v>
      </c>
      <c r="H176" s="13" t="s">
        <v>157</v>
      </c>
      <c r="I176" s="13"/>
      <c r="J176" s="13"/>
      <c r="K176" s="13">
        <v>14</v>
      </c>
      <c r="L176" s="13"/>
      <c r="M176" s="13"/>
      <c r="N176" s="8" t="s">
        <v>221</v>
      </c>
      <c r="O176" s="8"/>
    </row>
    <row r="177" spans="1:15" ht="28" x14ac:dyDescent="0.15">
      <c r="A177" s="15" t="s">
        <v>566</v>
      </c>
      <c r="B177" s="8" t="s">
        <v>563</v>
      </c>
      <c r="C177" s="8" t="s">
        <v>564</v>
      </c>
      <c r="D177" s="8" t="s">
        <v>567</v>
      </c>
      <c r="E177" s="13" t="s">
        <v>218</v>
      </c>
      <c r="F177" s="13" t="s">
        <v>231</v>
      </c>
      <c r="G177" s="13" t="s">
        <v>220</v>
      </c>
      <c r="H177" s="13" t="s">
        <v>157</v>
      </c>
      <c r="I177" s="13"/>
      <c r="J177" s="13"/>
      <c r="K177" s="13">
        <v>6</v>
      </c>
      <c r="L177" s="13"/>
      <c r="M177" s="13"/>
      <c r="N177" s="8" t="s">
        <v>221</v>
      </c>
      <c r="O177" s="8"/>
    </row>
    <row r="178" spans="1:15" ht="28" x14ac:dyDescent="0.15">
      <c r="A178" s="15" t="s">
        <v>568</v>
      </c>
      <c r="B178" s="8" t="s">
        <v>563</v>
      </c>
      <c r="C178" s="8" t="s">
        <v>564</v>
      </c>
      <c r="D178" s="8" t="s">
        <v>10</v>
      </c>
      <c r="E178" s="13" t="s">
        <v>218</v>
      </c>
      <c r="F178" s="13" t="s">
        <v>225</v>
      </c>
      <c r="G178" s="13" t="s">
        <v>220</v>
      </c>
      <c r="H178" s="13" t="s">
        <v>157</v>
      </c>
      <c r="I178" s="13"/>
      <c r="J178" s="13"/>
      <c r="K178" s="13">
        <v>18</v>
      </c>
      <c r="L178" s="13"/>
      <c r="M178" s="13"/>
      <c r="N178" s="8" t="s">
        <v>221</v>
      </c>
      <c r="O178" s="8"/>
    </row>
    <row r="179" spans="1:15" ht="28" x14ac:dyDescent="0.15">
      <c r="A179" s="15" t="s">
        <v>569</v>
      </c>
      <c r="B179" s="8" t="s">
        <v>563</v>
      </c>
      <c r="C179" s="8" t="s">
        <v>564</v>
      </c>
      <c r="D179" s="8" t="s">
        <v>13</v>
      </c>
      <c r="E179" s="13" t="s">
        <v>218</v>
      </c>
      <c r="F179" s="13" t="s">
        <v>251</v>
      </c>
      <c r="G179" s="13" t="s">
        <v>220</v>
      </c>
      <c r="H179" s="13" t="s">
        <v>157</v>
      </c>
      <c r="I179" s="13"/>
      <c r="J179" s="13"/>
      <c r="K179" s="13">
        <v>20</v>
      </c>
      <c r="L179" s="13"/>
      <c r="M179" s="13"/>
      <c r="N179" s="8" t="s">
        <v>221</v>
      </c>
      <c r="O179" s="8"/>
    </row>
    <row r="180" spans="1:15" ht="56" x14ac:dyDescent="0.15">
      <c r="A180" s="15" t="s">
        <v>570</v>
      </c>
      <c r="B180" s="8" t="s">
        <v>563</v>
      </c>
      <c r="C180" s="8" t="s">
        <v>564</v>
      </c>
      <c r="D180" s="8" t="s">
        <v>571</v>
      </c>
      <c r="E180" s="13" t="s">
        <v>218</v>
      </c>
      <c r="F180" s="13" t="s">
        <v>320</v>
      </c>
      <c r="G180" s="13" t="s">
        <v>220</v>
      </c>
      <c r="H180" s="13" t="s">
        <v>157</v>
      </c>
      <c r="I180" s="13"/>
      <c r="J180" s="13"/>
      <c r="K180" s="13">
        <v>48</v>
      </c>
      <c r="L180" s="13"/>
      <c r="M180" s="13"/>
      <c r="N180" s="8" t="s">
        <v>221</v>
      </c>
      <c r="O180" s="8"/>
    </row>
    <row r="181" spans="1:15" ht="42" x14ac:dyDescent="0.15">
      <c r="A181" s="15" t="s">
        <v>572</v>
      </c>
      <c r="B181" s="8" t="s">
        <v>563</v>
      </c>
      <c r="C181" s="8" t="s">
        <v>564</v>
      </c>
      <c r="D181" s="8" t="s">
        <v>573</v>
      </c>
      <c r="E181" s="13" t="s">
        <v>218</v>
      </c>
      <c r="F181" s="13" t="s">
        <v>295</v>
      </c>
      <c r="G181" s="13" t="s">
        <v>220</v>
      </c>
      <c r="H181" s="13" t="s">
        <v>157</v>
      </c>
      <c r="I181" s="13"/>
      <c r="J181" s="13"/>
      <c r="K181" s="13">
        <v>37</v>
      </c>
      <c r="L181" s="13"/>
      <c r="M181" s="13"/>
      <c r="N181" s="8" t="s">
        <v>221</v>
      </c>
      <c r="O181" s="8"/>
    </row>
    <row r="182" spans="1:15" ht="98" x14ac:dyDescent="0.15">
      <c r="A182" s="15" t="s">
        <v>574</v>
      </c>
      <c r="B182" s="8" t="s">
        <v>563</v>
      </c>
      <c r="C182" s="8" t="s">
        <v>564</v>
      </c>
      <c r="D182" s="8" t="s">
        <v>575</v>
      </c>
      <c r="E182" s="13" t="s">
        <v>228</v>
      </c>
      <c r="F182" s="13" t="s">
        <v>239</v>
      </c>
      <c r="G182" s="13" t="s">
        <v>162</v>
      </c>
      <c r="H182" s="13" t="s">
        <v>151</v>
      </c>
      <c r="I182" s="13" t="s">
        <v>576</v>
      </c>
      <c r="J182" s="13" t="s">
        <v>164</v>
      </c>
      <c r="K182" s="13">
        <v>10</v>
      </c>
      <c r="L182" s="13">
        <v>10</v>
      </c>
      <c r="M182" s="13">
        <v>0</v>
      </c>
      <c r="N182" s="8" t="s">
        <v>577</v>
      </c>
      <c r="O182" s="8" t="s">
        <v>169</v>
      </c>
    </row>
    <row r="183" spans="1:15" ht="28" x14ac:dyDescent="0.15">
      <c r="A183" s="15" t="s">
        <v>578</v>
      </c>
      <c r="B183" s="8" t="s">
        <v>563</v>
      </c>
      <c r="C183" s="8" t="s">
        <v>564</v>
      </c>
      <c r="D183" s="8" t="s">
        <v>40</v>
      </c>
      <c r="E183" s="13" t="s">
        <v>228</v>
      </c>
      <c r="F183" s="13" t="s">
        <v>223</v>
      </c>
      <c r="G183" s="13" t="s">
        <v>220</v>
      </c>
      <c r="H183" s="13" t="s">
        <v>157</v>
      </c>
      <c r="I183" s="13"/>
      <c r="J183" s="13"/>
      <c r="K183" s="13">
        <v>17</v>
      </c>
      <c r="L183" s="13"/>
      <c r="M183" s="13"/>
      <c r="N183" s="8" t="s">
        <v>221</v>
      </c>
      <c r="O183" s="8"/>
    </row>
    <row r="184" spans="1:15" ht="42" x14ac:dyDescent="0.15">
      <c r="A184" s="15" t="s">
        <v>579</v>
      </c>
      <c r="B184" s="8" t="s">
        <v>563</v>
      </c>
      <c r="C184" s="8" t="s">
        <v>564</v>
      </c>
      <c r="D184" s="8" t="s">
        <v>580</v>
      </c>
      <c r="E184" s="13" t="s">
        <v>228</v>
      </c>
      <c r="F184" s="13" t="s">
        <v>277</v>
      </c>
      <c r="G184" s="13" t="s">
        <v>220</v>
      </c>
      <c r="H184" s="13" t="s">
        <v>157</v>
      </c>
      <c r="I184" s="13"/>
      <c r="J184" s="13"/>
      <c r="K184" s="13">
        <v>32</v>
      </c>
      <c r="L184" s="13"/>
      <c r="M184" s="13"/>
      <c r="N184" s="8" t="s">
        <v>221</v>
      </c>
      <c r="O184" s="8"/>
    </row>
    <row r="185" spans="1:15" ht="28" x14ac:dyDescent="0.15">
      <c r="A185" s="15" t="s">
        <v>581</v>
      </c>
      <c r="B185" s="8" t="s">
        <v>563</v>
      </c>
      <c r="C185" s="8" t="s">
        <v>564</v>
      </c>
      <c r="D185" s="8" t="s">
        <v>582</v>
      </c>
      <c r="E185" s="13" t="s">
        <v>228</v>
      </c>
      <c r="F185" s="13" t="s">
        <v>251</v>
      </c>
      <c r="G185" s="13" t="s">
        <v>220</v>
      </c>
      <c r="H185" s="13" t="s">
        <v>157</v>
      </c>
      <c r="I185" s="13"/>
      <c r="J185" s="13"/>
      <c r="K185" s="13">
        <v>20</v>
      </c>
      <c r="L185" s="13"/>
      <c r="M185" s="13"/>
      <c r="N185" s="8" t="s">
        <v>221</v>
      </c>
      <c r="O185" s="8"/>
    </row>
    <row r="186" spans="1:15" ht="42" x14ac:dyDescent="0.15">
      <c r="A186" s="15" t="s">
        <v>583</v>
      </c>
      <c r="B186" s="8" t="s">
        <v>563</v>
      </c>
      <c r="C186" s="8" t="s">
        <v>564</v>
      </c>
      <c r="D186" s="8" t="s">
        <v>584</v>
      </c>
      <c r="E186" s="13" t="s">
        <v>228</v>
      </c>
      <c r="F186" s="13" t="s">
        <v>291</v>
      </c>
      <c r="G186" s="13" t="s">
        <v>220</v>
      </c>
      <c r="H186" s="13" t="s">
        <v>157</v>
      </c>
      <c r="I186" s="13"/>
      <c r="J186" s="13"/>
      <c r="K186" s="13">
        <v>35</v>
      </c>
      <c r="L186" s="13"/>
      <c r="M186" s="13"/>
      <c r="N186" s="8" t="s">
        <v>221</v>
      </c>
      <c r="O186" s="8"/>
    </row>
    <row r="187" spans="1:15" ht="28" x14ac:dyDescent="0.15">
      <c r="A187" s="15" t="s">
        <v>585</v>
      </c>
      <c r="B187" s="8" t="s">
        <v>563</v>
      </c>
      <c r="C187" s="8" t="s">
        <v>564</v>
      </c>
      <c r="D187" s="8" t="s">
        <v>586</v>
      </c>
      <c r="E187" s="13" t="s">
        <v>228</v>
      </c>
      <c r="F187" s="13" t="s">
        <v>256</v>
      </c>
      <c r="G187" s="13" t="s">
        <v>220</v>
      </c>
      <c r="H187" s="13" t="s">
        <v>157</v>
      </c>
      <c r="I187" s="13"/>
      <c r="J187" s="13"/>
      <c r="K187" s="13">
        <v>22</v>
      </c>
      <c r="L187" s="13"/>
      <c r="M187" s="13"/>
      <c r="N187" s="8" t="s">
        <v>221</v>
      </c>
      <c r="O187" s="8"/>
    </row>
    <row r="188" spans="1:15" ht="28" x14ac:dyDescent="0.15">
      <c r="A188" s="15" t="s">
        <v>587</v>
      </c>
      <c r="B188" s="8" t="s">
        <v>563</v>
      </c>
      <c r="C188" s="8" t="s">
        <v>564</v>
      </c>
      <c r="D188" s="8" t="s">
        <v>140</v>
      </c>
      <c r="E188" s="13" t="s">
        <v>228</v>
      </c>
      <c r="F188" s="13" t="s">
        <v>233</v>
      </c>
      <c r="G188" s="13" t="s">
        <v>220</v>
      </c>
      <c r="H188" s="13" t="s">
        <v>157</v>
      </c>
      <c r="I188" s="13"/>
      <c r="J188" s="13"/>
      <c r="K188" s="13">
        <v>12</v>
      </c>
      <c r="L188" s="13"/>
      <c r="M188" s="13"/>
      <c r="N188" s="8" t="s">
        <v>221</v>
      </c>
      <c r="O188" s="8"/>
    </row>
    <row r="189" spans="1:15" ht="56" x14ac:dyDescent="0.15">
      <c r="A189" s="15" t="s">
        <v>588</v>
      </c>
      <c r="B189" s="8" t="s">
        <v>563</v>
      </c>
      <c r="C189" s="8" t="s">
        <v>564</v>
      </c>
      <c r="D189" s="8" t="s">
        <v>589</v>
      </c>
      <c r="E189" s="13" t="s">
        <v>228</v>
      </c>
      <c r="F189" s="13" t="s">
        <v>334</v>
      </c>
      <c r="G189" s="13" t="s">
        <v>220</v>
      </c>
      <c r="H189" s="13" t="s">
        <v>157</v>
      </c>
      <c r="I189" s="13"/>
      <c r="J189" s="13"/>
      <c r="K189" s="13">
        <v>54</v>
      </c>
      <c r="L189" s="13"/>
      <c r="M189" s="13"/>
      <c r="N189" s="8" t="s">
        <v>221</v>
      </c>
      <c r="O189" s="8"/>
    </row>
    <row r="190" spans="1:15" ht="98" x14ac:dyDescent="0.15">
      <c r="A190" s="15" t="s">
        <v>590</v>
      </c>
      <c r="B190" s="8" t="s">
        <v>563</v>
      </c>
      <c r="C190" s="8" t="s">
        <v>564</v>
      </c>
      <c r="D190" s="8" t="s">
        <v>591</v>
      </c>
      <c r="E190" s="13" t="s">
        <v>228</v>
      </c>
      <c r="F190" s="13" t="s">
        <v>256</v>
      </c>
      <c r="G190" s="13" t="s">
        <v>162</v>
      </c>
      <c r="H190" s="13" t="s">
        <v>157</v>
      </c>
      <c r="I190" s="13" t="s">
        <v>592</v>
      </c>
      <c r="J190" s="13" t="s">
        <v>164</v>
      </c>
      <c r="K190" s="13">
        <v>22</v>
      </c>
      <c r="L190" s="13">
        <v>22</v>
      </c>
      <c r="M190" s="13">
        <v>0</v>
      </c>
      <c r="N190" s="8" t="s">
        <v>593</v>
      </c>
      <c r="O190" s="8" t="s">
        <v>169</v>
      </c>
    </row>
    <row r="191" spans="1:15" ht="28" x14ac:dyDescent="0.15">
      <c r="A191" s="15" t="s">
        <v>594</v>
      </c>
      <c r="B191" s="8" t="s">
        <v>595</v>
      </c>
      <c r="C191" s="8" t="s">
        <v>596</v>
      </c>
      <c r="D191" s="8" t="s">
        <v>597</v>
      </c>
      <c r="E191" s="13" t="s">
        <v>218</v>
      </c>
      <c r="F191" s="13" t="s">
        <v>234</v>
      </c>
      <c r="G191" s="13" t="s">
        <v>220</v>
      </c>
      <c r="H191" s="13" t="s">
        <v>157</v>
      </c>
      <c r="I191" s="13"/>
      <c r="J191" s="13"/>
      <c r="K191" s="13">
        <v>7</v>
      </c>
      <c r="L191" s="13"/>
      <c r="M191" s="13"/>
      <c r="N191" s="8" t="s">
        <v>221</v>
      </c>
      <c r="O191" s="8"/>
    </row>
    <row r="192" spans="1:15" ht="56" x14ac:dyDescent="0.15">
      <c r="A192" s="15" t="s">
        <v>598</v>
      </c>
      <c r="B192" s="8" t="s">
        <v>595</v>
      </c>
      <c r="C192" s="8" t="s">
        <v>596</v>
      </c>
      <c r="D192" s="8" t="s">
        <v>599</v>
      </c>
      <c r="E192" s="13" t="s">
        <v>218</v>
      </c>
      <c r="F192" s="13" t="s">
        <v>291</v>
      </c>
      <c r="G192" s="13" t="s">
        <v>220</v>
      </c>
      <c r="H192" s="13" t="s">
        <v>157</v>
      </c>
      <c r="I192" s="13"/>
      <c r="J192" s="13"/>
      <c r="K192" s="13">
        <v>35</v>
      </c>
      <c r="L192" s="13"/>
      <c r="M192" s="13"/>
      <c r="N192" s="8" t="s">
        <v>221</v>
      </c>
      <c r="O192" s="8"/>
    </row>
    <row r="193" spans="1:15" ht="28" x14ac:dyDescent="0.15">
      <c r="A193" s="15" t="s">
        <v>600</v>
      </c>
      <c r="B193" s="8" t="s">
        <v>595</v>
      </c>
      <c r="C193" s="8" t="s">
        <v>596</v>
      </c>
      <c r="D193" s="8" t="s">
        <v>601</v>
      </c>
      <c r="E193" s="13" t="s">
        <v>218</v>
      </c>
      <c r="F193" s="13" t="s">
        <v>231</v>
      </c>
      <c r="G193" s="13" t="s">
        <v>220</v>
      </c>
      <c r="H193" s="13" t="s">
        <v>157</v>
      </c>
      <c r="I193" s="13"/>
      <c r="J193" s="13"/>
      <c r="K193" s="13">
        <v>6</v>
      </c>
      <c r="L193" s="13"/>
      <c r="M193" s="13"/>
      <c r="N193" s="8" t="s">
        <v>221</v>
      </c>
      <c r="O193" s="8"/>
    </row>
    <row r="194" spans="1:15" ht="28" x14ac:dyDescent="0.15">
      <c r="A194" s="15" t="s">
        <v>602</v>
      </c>
      <c r="B194" s="8" t="s">
        <v>595</v>
      </c>
      <c r="C194" s="8" t="s">
        <v>596</v>
      </c>
      <c r="D194" s="8" t="s">
        <v>35</v>
      </c>
      <c r="E194" s="13" t="s">
        <v>218</v>
      </c>
      <c r="F194" s="13" t="s">
        <v>238</v>
      </c>
      <c r="G194" s="13" t="s">
        <v>220</v>
      </c>
      <c r="H194" s="13" t="s">
        <v>157</v>
      </c>
      <c r="I194" s="13"/>
      <c r="J194" s="13"/>
      <c r="K194" s="13">
        <v>9</v>
      </c>
      <c r="L194" s="13"/>
      <c r="M194" s="13"/>
      <c r="N194" s="8" t="s">
        <v>221</v>
      </c>
      <c r="O194" s="8"/>
    </row>
    <row r="195" spans="1:15" ht="28" x14ac:dyDescent="0.15">
      <c r="A195" s="15" t="s">
        <v>603</v>
      </c>
      <c r="B195" s="8" t="s">
        <v>595</v>
      </c>
      <c r="C195" s="8" t="s">
        <v>596</v>
      </c>
      <c r="D195" s="8" t="s">
        <v>604</v>
      </c>
      <c r="E195" s="13" t="s">
        <v>218</v>
      </c>
      <c r="F195" s="13" t="s">
        <v>234</v>
      </c>
      <c r="G195" s="13" t="s">
        <v>220</v>
      </c>
      <c r="H195" s="13" t="s">
        <v>157</v>
      </c>
      <c r="I195" s="13"/>
      <c r="J195" s="13"/>
      <c r="K195" s="13">
        <v>7</v>
      </c>
      <c r="L195" s="13"/>
      <c r="M195" s="13"/>
      <c r="N195" s="8" t="s">
        <v>221</v>
      </c>
      <c r="O195" s="8"/>
    </row>
    <row r="196" spans="1:15" ht="28" x14ac:dyDescent="0.15">
      <c r="A196" s="15" t="s">
        <v>605</v>
      </c>
      <c r="B196" s="8" t="s">
        <v>595</v>
      </c>
      <c r="C196" s="8" t="s">
        <v>596</v>
      </c>
      <c r="D196" s="8" t="s">
        <v>91</v>
      </c>
      <c r="E196" s="13" t="s">
        <v>218</v>
      </c>
      <c r="F196" s="13" t="s">
        <v>238</v>
      </c>
      <c r="G196" s="13" t="s">
        <v>220</v>
      </c>
      <c r="H196" s="13" t="s">
        <v>157</v>
      </c>
      <c r="I196" s="13"/>
      <c r="J196" s="13"/>
      <c r="K196" s="13">
        <v>9</v>
      </c>
      <c r="L196" s="13"/>
      <c r="M196" s="13"/>
      <c r="N196" s="8" t="s">
        <v>221</v>
      </c>
      <c r="O196" s="8"/>
    </row>
    <row r="197" spans="1:15" ht="28" x14ac:dyDescent="0.15">
      <c r="A197" s="15" t="s">
        <v>606</v>
      </c>
      <c r="B197" s="8" t="s">
        <v>595</v>
      </c>
      <c r="C197" s="8" t="s">
        <v>596</v>
      </c>
      <c r="D197" s="8" t="s">
        <v>126</v>
      </c>
      <c r="E197" s="13" t="s">
        <v>218</v>
      </c>
      <c r="F197" s="13" t="s">
        <v>250</v>
      </c>
      <c r="G197" s="13" t="s">
        <v>220</v>
      </c>
      <c r="H197" s="13" t="s">
        <v>157</v>
      </c>
      <c r="I197" s="13"/>
      <c r="J197" s="13"/>
      <c r="K197" s="13">
        <v>16</v>
      </c>
      <c r="L197" s="13"/>
      <c r="M197" s="13"/>
      <c r="N197" s="8" t="s">
        <v>221</v>
      </c>
      <c r="O197" s="8"/>
    </row>
    <row r="198" spans="1:15" ht="28" x14ac:dyDescent="0.15">
      <c r="A198" s="15" t="s">
        <v>607</v>
      </c>
      <c r="B198" s="8" t="s">
        <v>595</v>
      </c>
      <c r="C198" s="8" t="s">
        <v>596</v>
      </c>
      <c r="D198" s="8" t="s">
        <v>608</v>
      </c>
      <c r="E198" s="13" t="s">
        <v>218</v>
      </c>
      <c r="F198" s="13" t="s">
        <v>255</v>
      </c>
      <c r="G198" s="13" t="s">
        <v>220</v>
      </c>
      <c r="H198" s="13" t="s">
        <v>157</v>
      </c>
      <c r="I198" s="13"/>
      <c r="J198" s="13"/>
      <c r="K198" s="13">
        <v>21</v>
      </c>
      <c r="L198" s="13"/>
      <c r="M198" s="13"/>
      <c r="N198" s="8" t="s">
        <v>221</v>
      </c>
      <c r="O198" s="8"/>
    </row>
    <row r="199" spans="1:15" ht="28" x14ac:dyDescent="0.15">
      <c r="A199" s="15" t="s">
        <v>609</v>
      </c>
      <c r="B199" s="8" t="s">
        <v>595</v>
      </c>
      <c r="C199" s="8" t="s">
        <v>596</v>
      </c>
      <c r="D199" s="8" t="s">
        <v>76</v>
      </c>
      <c r="E199" s="13" t="s">
        <v>228</v>
      </c>
      <c r="F199" s="13" t="s">
        <v>253</v>
      </c>
      <c r="G199" s="13" t="s">
        <v>220</v>
      </c>
      <c r="H199" s="13" t="s">
        <v>157</v>
      </c>
      <c r="I199" s="13"/>
      <c r="J199" s="13"/>
      <c r="K199" s="13">
        <v>19</v>
      </c>
      <c r="L199" s="13"/>
      <c r="M199" s="13"/>
      <c r="N199" s="8" t="s">
        <v>221</v>
      </c>
      <c r="O199" s="8"/>
    </row>
    <row r="200" spans="1:15" ht="28" x14ac:dyDescent="0.15">
      <c r="A200" s="15" t="s">
        <v>610</v>
      </c>
      <c r="B200" s="8" t="s">
        <v>595</v>
      </c>
      <c r="C200" s="8" t="s">
        <v>596</v>
      </c>
      <c r="D200" s="8" t="s">
        <v>611</v>
      </c>
      <c r="E200" s="13" t="s">
        <v>228</v>
      </c>
      <c r="F200" s="13" t="s">
        <v>233</v>
      </c>
      <c r="G200" s="13" t="s">
        <v>220</v>
      </c>
      <c r="H200" s="13" t="s">
        <v>157</v>
      </c>
      <c r="I200" s="13"/>
      <c r="J200" s="13"/>
      <c r="K200" s="13">
        <v>12</v>
      </c>
      <c r="L200" s="13"/>
      <c r="M200" s="13"/>
      <c r="N200" s="8" t="s">
        <v>221</v>
      </c>
      <c r="O200" s="8"/>
    </row>
    <row r="201" spans="1:15" ht="28" x14ac:dyDescent="0.15">
      <c r="A201" s="15" t="s">
        <v>612</v>
      </c>
      <c r="B201" s="8" t="s">
        <v>595</v>
      </c>
      <c r="C201" s="8" t="s">
        <v>596</v>
      </c>
      <c r="D201" s="8" t="s">
        <v>613</v>
      </c>
      <c r="E201" s="13" t="s">
        <v>228</v>
      </c>
      <c r="F201" s="13" t="s">
        <v>256</v>
      </c>
      <c r="G201" s="13" t="s">
        <v>220</v>
      </c>
      <c r="H201" s="13" t="s">
        <v>157</v>
      </c>
      <c r="I201" s="13"/>
      <c r="J201" s="13"/>
      <c r="K201" s="13">
        <v>22</v>
      </c>
      <c r="L201" s="13"/>
      <c r="M201" s="13"/>
      <c r="N201" s="8" t="s">
        <v>221</v>
      </c>
      <c r="O201" s="8"/>
    </row>
    <row r="202" spans="1:15" ht="28" x14ac:dyDescent="0.15">
      <c r="A202" s="15" t="s">
        <v>614</v>
      </c>
      <c r="B202" s="8" t="s">
        <v>595</v>
      </c>
      <c r="C202" s="8" t="s">
        <v>596</v>
      </c>
      <c r="D202" s="8" t="s">
        <v>127</v>
      </c>
      <c r="E202" s="13" t="s">
        <v>228</v>
      </c>
      <c r="F202" s="13" t="s">
        <v>239</v>
      </c>
      <c r="G202" s="13" t="s">
        <v>220</v>
      </c>
      <c r="H202" s="13" t="s">
        <v>157</v>
      </c>
      <c r="I202" s="13"/>
      <c r="J202" s="13"/>
      <c r="K202" s="13">
        <v>10</v>
      </c>
      <c r="L202" s="13"/>
      <c r="M202" s="13"/>
      <c r="N202" s="8" t="s">
        <v>221</v>
      </c>
      <c r="O202" s="8"/>
    </row>
    <row r="203" spans="1:15" ht="28" x14ac:dyDescent="0.15">
      <c r="A203" s="15" t="s">
        <v>615</v>
      </c>
      <c r="B203" s="8" t="s">
        <v>616</v>
      </c>
      <c r="C203" s="8" t="s">
        <v>617</v>
      </c>
      <c r="D203" s="8" t="s">
        <v>618</v>
      </c>
      <c r="E203" s="13" t="s">
        <v>218</v>
      </c>
      <c r="F203" s="13" t="s">
        <v>231</v>
      </c>
      <c r="G203" s="13" t="s">
        <v>220</v>
      </c>
      <c r="H203" s="13" t="s">
        <v>157</v>
      </c>
      <c r="I203" s="13"/>
      <c r="J203" s="13"/>
      <c r="K203" s="13">
        <v>6</v>
      </c>
      <c r="L203" s="13"/>
      <c r="M203" s="13"/>
      <c r="N203" s="8" t="s">
        <v>221</v>
      </c>
      <c r="O203" s="8"/>
    </row>
    <row r="204" spans="1:15" ht="28" x14ac:dyDescent="0.15">
      <c r="A204" s="15" t="s">
        <v>619</v>
      </c>
      <c r="B204" s="8" t="s">
        <v>616</v>
      </c>
      <c r="C204" s="8" t="s">
        <v>617</v>
      </c>
      <c r="D204" s="8" t="s">
        <v>620</v>
      </c>
      <c r="E204" s="13" t="s">
        <v>218</v>
      </c>
      <c r="F204" s="13" t="s">
        <v>250</v>
      </c>
      <c r="G204" s="13" t="s">
        <v>220</v>
      </c>
      <c r="H204" s="13" t="s">
        <v>157</v>
      </c>
      <c r="I204" s="13"/>
      <c r="J204" s="13"/>
      <c r="K204" s="13">
        <v>16</v>
      </c>
      <c r="L204" s="13"/>
      <c r="M204" s="13"/>
      <c r="N204" s="8" t="s">
        <v>221</v>
      </c>
      <c r="O204" s="8"/>
    </row>
    <row r="205" spans="1:15" ht="28" x14ac:dyDescent="0.15">
      <c r="A205" s="15" t="s">
        <v>621</v>
      </c>
      <c r="B205" s="8" t="s">
        <v>616</v>
      </c>
      <c r="C205" s="8" t="s">
        <v>617</v>
      </c>
      <c r="D205" s="8" t="s">
        <v>87</v>
      </c>
      <c r="E205" s="13" t="s">
        <v>218</v>
      </c>
      <c r="F205" s="13" t="s">
        <v>240</v>
      </c>
      <c r="G205" s="13" t="s">
        <v>220</v>
      </c>
      <c r="H205" s="13" t="s">
        <v>157</v>
      </c>
      <c r="I205" s="13"/>
      <c r="J205" s="13"/>
      <c r="K205" s="13">
        <v>13</v>
      </c>
      <c r="L205" s="13"/>
      <c r="M205" s="13"/>
      <c r="N205" s="8" t="s">
        <v>221</v>
      </c>
      <c r="O205" s="8"/>
    </row>
    <row r="206" spans="1:15" ht="28" x14ac:dyDescent="0.15">
      <c r="A206" s="15" t="s">
        <v>622</v>
      </c>
      <c r="B206" s="8" t="s">
        <v>616</v>
      </c>
      <c r="C206" s="8" t="s">
        <v>617</v>
      </c>
      <c r="D206" s="8" t="s">
        <v>65</v>
      </c>
      <c r="E206" s="13" t="s">
        <v>218</v>
      </c>
      <c r="F206" s="13" t="s">
        <v>239</v>
      </c>
      <c r="G206" s="13" t="s">
        <v>220</v>
      </c>
      <c r="H206" s="13" t="s">
        <v>157</v>
      </c>
      <c r="I206" s="13"/>
      <c r="J206" s="13"/>
      <c r="K206" s="13">
        <v>10</v>
      </c>
      <c r="L206" s="13"/>
      <c r="M206" s="13"/>
      <c r="N206" s="8" t="s">
        <v>221</v>
      </c>
      <c r="O206" s="8"/>
    </row>
    <row r="207" spans="1:15" ht="28" x14ac:dyDescent="0.15">
      <c r="A207" s="15" t="s">
        <v>623</v>
      </c>
      <c r="B207" s="8" t="s">
        <v>616</v>
      </c>
      <c r="C207" s="8" t="s">
        <v>617</v>
      </c>
      <c r="D207" s="8" t="s">
        <v>624</v>
      </c>
      <c r="E207" s="13" t="s">
        <v>228</v>
      </c>
      <c r="F207" s="13" t="s">
        <v>244</v>
      </c>
      <c r="G207" s="13" t="s">
        <v>220</v>
      </c>
      <c r="H207" s="13" t="s">
        <v>157</v>
      </c>
      <c r="I207" s="13"/>
      <c r="J207" s="13"/>
      <c r="K207" s="13">
        <v>23</v>
      </c>
      <c r="L207" s="13"/>
      <c r="M207" s="13"/>
      <c r="N207" s="8" t="s">
        <v>221</v>
      </c>
      <c r="O207" s="8"/>
    </row>
    <row r="208" spans="1:15" ht="28" x14ac:dyDescent="0.15">
      <c r="A208" s="15" t="s">
        <v>625</v>
      </c>
      <c r="B208" s="8" t="s">
        <v>616</v>
      </c>
      <c r="C208" s="8" t="s">
        <v>617</v>
      </c>
      <c r="D208" s="8" t="s">
        <v>31</v>
      </c>
      <c r="E208" s="13" t="s">
        <v>228</v>
      </c>
      <c r="F208" s="13" t="s">
        <v>241</v>
      </c>
      <c r="G208" s="13" t="s">
        <v>220</v>
      </c>
      <c r="H208" s="13" t="s">
        <v>157</v>
      </c>
      <c r="I208" s="13"/>
      <c r="J208" s="13"/>
      <c r="K208" s="13">
        <v>11</v>
      </c>
      <c r="L208" s="13"/>
      <c r="M208" s="13"/>
      <c r="N208" s="8" t="s">
        <v>221</v>
      </c>
      <c r="O208" s="8"/>
    </row>
    <row r="209" spans="1:15" ht="28" x14ac:dyDescent="0.15">
      <c r="A209" s="15" t="s">
        <v>626</v>
      </c>
      <c r="B209" s="8" t="s">
        <v>616</v>
      </c>
      <c r="C209" s="8" t="s">
        <v>617</v>
      </c>
      <c r="D209" s="8" t="s">
        <v>125</v>
      </c>
      <c r="E209" s="13" t="s">
        <v>228</v>
      </c>
      <c r="F209" s="13" t="s">
        <v>246</v>
      </c>
      <c r="G209" s="13" t="s">
        <v>220</v>
      </c>
      <c r="H209" s="13" t="s">
        <v>157</v>
      </c>
      <c r="I209" s="13"/>
      <c r="J209" s="13"/>
      <c r="K209" s="13">
        <v>14</v>
      </c>
      <c r="L209" s="13"/>
      <c r="M209" s="13"/>
      <c r="N209" s="8" t="s">
        <v>221</v>
      </c>
      <c r="O209" s="8"/>
    </row>
    <row r="210" spans="1:15" ht="42" x14ac:dyDescent="0.15">
      <c r="A210" s="15" t="s">
        <v>627</v>
      </c>
      <c r="B210" s="8" t="s">
        <v>628</v>
      </c>
      <c r="C210" s="8" t="s">
        <v>629</v>
      </c>
      <c r="D210" s="8" t="s">
        <v>630</v>
      </c>
      <c r="E210" s="13" t="s">
        <v>218</v>
      </c>
      <c r="F210" s="13" t="s">
        <v>234</v>
      </c>
      <c r="G210" s="13" t="s">
        <v>220</v>
      </c>
      <c r="H210" s="13" t="s">
        <v>157</v>
      </c>
      <c r="I210" s="13"/>
      <c r="J210" s="13"/>
      <c r="K210" s="13">
        <v>7</v>
      </c>
      <c r="L210" s="13"/>
      <c r="M210" s="13"/>
      <c r="N210" s="8" t="s">
        <v>221</v>
      </c>
      <c r="O210" s="8"/>
    </row>
    <row r="211" spans="1:15" ht="42" x14ac:dyDescent="0.15">
      <c r="A211" s="15" t="s">
        <v>631</v>
      </c>
      <c r="B211" s="8" t="s">
        <v>628</v>
      </c>
      <c r="C211" s="8" t="s">
        <v>629</v>
      </c>
      <c r="D211" s="8" t="s">
        <v>632</v>
      </c>
      <c r="E211" s="13" t="s">
        <v>218</v>
      </c>
      <c r="F211" s="13" t="s">
        <v>253</v>
      </c>
      <c r="G211" s="13" t="s">
        <v>220</v>
      </c>
      <c r="H211" s="13" t="s">
        <v>157</v>
      </c>
      <c r="I211" s="13"/>
      <c r="J211" s="13"/>
      <c r="K211" s="13">
        <v>19</v>
      </c>
      <c r="L211" s="13"/>
      <c r="M211" s="13"/>
      <c r="N211" s="8" t="s">
        <v>221</v>
      </c>
      <c r="O211" s="8"/>
    </row>
    <row r="212" spans="1:15" ht="42" x14ac:dyDescent="0.15">
      <c r="A212" s="15" t="s">
        <v>633</v>
      </c>
      <c r="B212" s="8" t="s">
        <v>628</v>
      </c>
      <c r="C212" s="8" t="s">
        <v>629</v>
      </c>
      <c r="D212" s="8" t="s">
        <v>634</v>
      </c>
      <c r="E212" s="13" t="s">
        <v>218</v>
      </c>
      <c r="F212" s="13" t="s">
        <v>272</v>
      </c>
      <c r="G212" s="13" t="s">
        <v>220</v>
      </c>
      <c r="H212" s="13" t="s">
        <v>157</v>
      </c>
      <c r="I212" s="13"/>
      <c r="J212" s="13"/>
      <c r="K212" s="13">
        <v>29</v>
      </c>
      <c r="L212" s="13"/>
      <c r="M212" s="13"/>
      <c r="N212" s="8" t="s">
        <v>221</v>
      </c>
      <c r="O212" s="8"/>
    </row>
    <row r="213" spans="1:15" ht="42" x14ac:dyDescent="0.15">
      <c r="A213" s="15" t="s">
        <v>635</v>
      </c>
      <c r="B213" s="8" t="s">
        <v>628</v>
      </c>
      <c r="C213" s="8" t="s">
        <v>629</v>
      </c>
      <c r="D213" s="8" t="s">
        <v>636</v>
      </c>
      <c r="E213" s="13" t="s">
        <v>218</v>
      </c>
      <c r="F213" s="13" t="s">
        <v>241</v>
      </c>
      <c r="G213" s="13" t="s">
        <v>220</v>
      </c>
      <c r="H213" s="13" t="s">
        <v>157</v>
      </c>
      <c r="I213" s="13"/>
      <c r="J213" s="13"/>
      <c r="K213" s="13">
        <v>11</v>
      </c>
      <c r="L213" s="13"/>
      <c r="M213" s="13"/>
      <c r="N213" s="8" t="s">
        <v>221</v>
      </c>
      <c r="O213" s="8"/>
    </row>
    <row r="214" spans="1:15" ht="42" x14ac:dyDescent="0.15">
      <c r="A214" s="15" t="s">
        <v>637</v>
      </c>
      <c r="B214" s="8" t="s">
        <v>628</v>
      </c>
      <c r="C214" s="8" t="s">
        <v>629</v>
      </c>
      <c r="D214" s="8" t="s">
        <v>638</v>
      </c>
      <c r="E214" s="13" t="s">
        <v>218</v>
      </c>
      <c r="F214" s="13" t="s">
        <v>262</v>
      </c>
      <c r="G214" s="13" t="s">
        <v>220</v>
      </c>
      <c r="H214" s="13" t="s">
        <v>157</v>
      </c>
      <c r="I214" s="13"/>
      <c r="J214" s="13"/>
      <c r="K214" s="13">
        <v>24</v>
      </c>
      <c r="L214" s="13"/>
      <c r="M214" s="13"/>
      <c r="N214" s="8" t="s">
        <v>221</v>
      </c>
      <c r="O214" s="8"/>
    </row>
    <row r="215" spans="1:15" ht="42" x14ac:dyDescent="0.15">
      <c r="A215" s="15" t="s">
        <v>639</v>
      </c>
      <c r="B215" s="8" t="s">
        <v>628</v>
      </c>
      <c r="C215" s="8" t="s">
        <v>629</v>
      </c>
      <c r="D215" s="8" t="s">
        <v>640</v>
      </c>
      <c r="E215" s="13" t="s">
        <v>218</v>
      </c>
      <c r="F215" s="13" t="s">
        <v>277</v>
      </c>
      <c r="G215" s="13" t="s">
        <v>220</v>
      </c>
      <c r="H215" s="13" t="s">
        <v>157</v>
      </c>
      <c r="I215" s="13"/>
      <c r="J215" s="13"/>
      <c r="K215" s="13">
        <v>32</v>
      </c>
      <c r="L215" s="13"/>
      <c r="M215" s="13"/>
      <c r="N215" s="8" t="s">
        <v>221</v>
      </c>
      <c r="O215" s="8"/>
    </row>
    <row r="216" spans="1:15" ht="42" x14ac:dyDescent="0.15">
      <c r="A216" s="15" t="s">
        <v>641</v>
      </c>
      <c r="B216" s="8" t="s">
        <v>628</v>
      </c>
      <c r="C216" s="8" t="s">
        <v>629</v>
      </c>
      <c r="D216" s="8" t="s">
        <v>642</v>
      </c>
      <c r="E216" s="13" t="s">
        <v>218</v>
      </c>
      <c r="F216" s="13" t="s">
        <v>219</v>
      </c>
      <c r="G216" s="13" t="s">
        <v>220</v>
      </c>
      <c r="H216" s="13" t="s">
        <v>157</v>
      </c>
      <c r="I216" s="13"/>
      <c r="J216" s="13"/>
      <c r="K216" s="13">
        <v>27</v>
      </c>
      <c r="L216" s="13"/>
      <c r="M216" s="13"/>
      <c r="N216" s="8" t="s">
        <v>221</v>
      </c>
      <c r="O216" s="8"/>
    </row>
    <row r="217" spans="1:15" ht="42" x14ac:dyDescent="0.15">
      <c r="A217" s="15" t="s">
        <v>643</v>
      </c>
      <c r="B217" s="8" t="s">
        <v>628</v>
      </c>
      <c r="C217" s="8" t="s">
        <v>629</v>
      </c>
      <c r="D217" s="8" t="s">
        <v>644</v>
      </c>
      <c r="E217" s="13" t="s">
        <v>218</v>
      </c>
      <c r="F217" s="13" t="s">
        <v>223</v>
      </c>
      <c r="G217" s="13" t="s">
        <v>220</v>
      </c>
      <c r="H217" s="13" t="s">
        <v>157</v>
      </c>
      <c r="I217" s="13"/>
      <c r="J217" s="13"/>
      <c r="K217" s="13">
        <v>17</v>
      </c>
      <c r="L217" s="13"/>
      <c r="M217" s="13"/>
      <c r="N217" s="8" t="s">
        <v>221</v>
      </c>
      <c r="O217" s="8"/>
    </row>
    <row r="218" spans="1:15" ht="42" x14ac:dyDescent="0.15">
      <c r="A218" s="15" t="s">
        <v>645</v>
      </c>
      <c r="B218" s="8" t="s">
        <v>628</v>
      </c>
      <c r="C218" s="8" t="s">
        <v>629</v>
      </c>
      <c r="D218" s="8" t="s">
        <v>646</v>
      </c>
      <c r="E218" s="13" t="s">
        <v>228</v>
      </c>
      <c r="F218" s="13" t="s">
        <v>274</v>
      </c>
      <c r="G218" s="13" t="s">
        <v>220</v>
      </c>
      <c r="H218" s="13" t="s">
        <v>157</v>
      </c>
      <c r="I218" s="13"/>
      <c r="J218" s="13"/>
      <c r="K218" s="13">
        <v>30</v>
      </c>
      <c r="L218" s="13"/>
      <c r="M218" s="13"/>
      <c r="N218" s="8" t="s">
        <v>221</v>
      </c>
      <c r="O218" s="8"/>
    </row>
    <row r="219" spans="1:15" ht="56" x14ac:dyDescent="0.15">
      <c r="A219" s="15" t="s">
        <v>647</v>
      </c>
      <c r="B219" s="8" t="s">
        <v>628</v>
      </c>
      <c r="C219" s="8" t="s">
        <v>629</v>
      </c>
      <c r="D219" s="8" t="s">
        <v>648</v>
      </c>
      <c r="E219" s="13" t="s">
        <v>228</v>
      </c>
      <c r="F219" s="13" t="s">
        <v>341</v>
      </c>
      <c r="G219" s="13" t="s">
        <v>220</v>
      </c>
      <c r="H219" s="13" t="s">
        <v>157</v>
      </c>
      <c r="I219" s="13"/>
      <c r="J219" s="13"/>
      <c r="K219" s="13">
        <v>57</v>
      </c>
      <c r="L219" s="13"/>
      <c r="M219" s="13"/>
      <c r="N219" s="8" t="s">
        <v>221</v>
      </c>
      <c r="O219" s="8"/>
    </row>
    <row r="220" spans="1:15" ht="56" x14ac:dyDescent="0.15">
      <c r="A220" s="15" t="s">
        <v>649</v>
      </c>
      <c r="B220" s="8" t="s">
        <v>628</v>
      </c>
      <c r="C220" s="8" t="s">
        <v>629</v>
      </c>
      <c r="D220" s="8" t="s">
        <v>650</v>
      </c>
      <c r="E220" s="13" t="s">
        <v>228</v>
      </c>
      <c r="F220" s="13" t="s">
        <v>312</v>
      </c>
      <c r="G220" s="13" t="s">
        <v>220</v>
      </c>
      <c r="H220" s="13" t="s">
        <v>157</v>
      </c>
      <c r="I220" s="13"/>
      <c r="J220" s="13"/>
      <c r="K220" s="13">
        <v>44</v>
      </c>
      <c r="L220" s="13"/>
      <c r="M220" s="13"/>
      <c r="N220" s="8" t="s">
        <v>221</v>
      </c>
      <c r="O220" s="8"/>
    </row>
    <row r="221" spans="1:15" ht="70" x14ac:dyDescent="0.15">
      <c r="A221" s="15" t="s">
        <v>651</v>
      </c>
      <c r="B221" s="8" t="s">
        <v>628</v>
      </c>
      <c r="C221" s="8" t="s">
        <v>629</v>
      </c>
      <c r="D221" s="8" t="s">
        <v>652</v>
      </c>
      <c r="E221" s="13" t="s">
        <v>228</v>
      </c>
      <c r="F221" s="13" t="s">
        <v>377</v>
      </c>
      <c r="G221" s="13" t="s">
        <v>220</v>
      </c>
      <c r="H221" s="13" t="s">
        <v>157</v>
      </c>
      <c r="I221" s="13"/>
      <c r="J221" s="13"/>
      <c r="K221" s="13">
        <v>78</v>
      </c>
      <c r="L221" s="13"/>
      <c r="M221" s="13"/>
      <c r="N221" s="8" t="s">
        <v>221</v>
      </c>
      <c r="O221" s="8"/>
    </row>
    <row r="222" spans="1:15" ht="56" x14ac:dyDescent="0.15">
      <c r="A222" s="15" t="s">
        <v>653</v>
      </c>
      <c r="B222" s="8" t="s">
        <v>628</v>
      </c>
      <c r="C222" s="8" t="s">
        <v>629</v>
      </c>
      <c r="D222" s="8" t="s">
        <v>654</v>
      </c>
      <c r="E222" s="13" t="s">
        <v>228</v>
      </c>
      <c r="F222" s="13" t="s">
        <v>336</v>
      </c>
      <c r="G222" s="13" t="s">
        <v>220</v>
      </c>
      <c r="H222" s="13" t="s">
        <v>157</v>
      </c>
      <c r="I222" s="13"/>
      <c r="J222" s="13"/>
      <c r="K222" s="13">
        <v>55</v>
      </c>
      <c r="L222" s="13"/>
      <c r="M222" s="13"/>
      <c r="N222" s="8" t="s">
        <v>221</v>
      </c>
      <c r="O222" s="8"/>
    </row>
    <row r="223" spans="1:15" ht="28" x14ac:dyDescent="0.15">
      <c r="A223" s="15" t="s">
        <v>655</v>
      </c>
      <c r="B223" s="8" t="s">
        <v>656</v>
      </c>
      <c r="C223" s="8" t="s">
        <v>657</v>
      </c>
      <c r="D223" s="8" t="s">
        <v>21</v>
      </c>
      <c r="E223" s="13" t="s">
        <v>218</v>
      </c>
      <c r="F223" s="13" t="s">
        <v>249</v>
      </c>
      <c r="G223" s="13" t="s">
        <v>220</v>
      </c>
      <c r="H223" s="13" t="s">
        <v>157</v>
      </c>
      <c r="I223" s="13"/>
      <c r="J223" s="13"/>
      <c r="K223" s="13">
        <v>15</v>
      </c>
      <c r="L223" s="13"/>
      <c r="M223" s="13"/>
      <c r="N223" s="8" t="s">
        <v>221</v>
      </c>
      <c r="O223" s="8"/>
    </row>
    <row r="224" spans="1:15" ht="28" x14ac:dyDescent="0.15">
      <c r="A224" s="15" t="s">
        <v>658</v>
      </c>
      <c r="B224" s="8" t="s">
        <v>656</v>
      </c>
      <c r="C224" s="8" t="s">
        <v>657</v>
      </c>
      <c r="D224" s="8" t="s">
        <v>659</v>
      </c>
      <c r="E224" s="13" t="s">
        <v>218</v>
      </c>
      <c r="F224" s="13" t="s">
        <v>236</v>
      </c>
      <c r="G224" s="13" t="s">
        <v>220</v>
      </c>
      <c r="H224" s="13" t="s">
        <v>157</v>
      </c>
      <c r="I224" s="13"/>
      <c r="J224" s="13"/>
      <c r="K224" s="13">
        <v>8</v>
      </c>
      <c r="L224" s="13"/>
      <c r="M224" s="13"/>
      <c r="N224" s="8" t="s">
        <v>221</v>
      </c>
      <c r="O224" s="8"/>
    </row>
    <row r="225" spans="1:15" ht="28" x14ac:dyDescent="0.15">
      <c r="A225" s="15" t="s">
        <v>660</v>
      </c>
      <c r="B225" s="8" t="s">
        <v>656</v>
      </c>
      <c r="C225" s="8" t="s">
        <v>657</v>
      </c>
      <c r="D225" s="8" t="s">
        <v>92</v>
      </c>
      <c r="E225" s="13" t="s">
        <v>218</v>
      </c>
      <c r="F225" s="13" t="s">
        <v>251</v>
      </c>
      <c r="G225" s="13" t="s">
        <v>220</v>
      </c>
      <c r="H225" s="13" t="s">
        <v>157</v>
      </c>
      <c r="I225" s="13"/>
      <c r="J225" s="13"/>
      <c r="K225" s="13">
        <v>20</v>
      </c>
      <c r="L225" s="13"/>
      <c r="M225" s="13"/>
      <c r="N225" s="8" t="s">
        <v>221</v>
      </c>
      <c r="O225" s="8"/>
    </row>
    <row r="226" spans="1:15" ht="70" x14ac:dyDescent="0.15">
      <c r="A226" s="15" t="s">
        <v>661</v>
      </c>
      <c r="B226" s="8" t="s">
        <v>656</v>
      </c>
      <c r="C226" s="8" t="s">
        <v>657</v>
      </c>
      <c r="D226" s="8" t="s">
        <v>662</v>
      </c>
      <c r="E226" s="13" t="s">
        <v>218</v>
      </c>
      <c r="F226" s="13" t="s">
        <v>356</v>
      </c>
      <c r="G226" s="13" t="s">
        <v>220</v>
      </c>
      <c r="H226" s="13" t="s">
        <v>157</v>
      </c>
      <c r="I226" s="13"/>
      <c r="J226" s="13"/>
      <c r="K226" s="13">
        <v>66</v>
      </c>
      <c r="L226" s="13"/>
      <c r="M226" s="13"/>
      <c r="N226" s="8" t="s">
        <v>221</v>
      </c>
      <c r="O226" s="8"/>
    </row>
    <row r="227" spans="1:15" ht="28" x14ac:dyDescent="0.15">
      <c r="A227" s="15" t="s">
        <v>663</v>
      </c>
      <c r="B227" s="8" t="s">
        <v>656</v>
      </c>
      <c r="C227" s="8" t="s">
        <v>657</v>
      </c>
      <c r="D227" s="8" t="s">
        <v>664</v>
      </c>
      <c r="E227" s="13" t="s">
        <v>228</v>
      </c>
      <c r="F227" s="13" t="s">
        <v>256</v>
      </c>
      <c r="G227" s="13" t="s">
        <v>220</v>
      </c>
      <c r="H227" s="13" t="s">
        <v>157</v>
      </c>
      <c r="I227" s="13"/>
      <c r="J227" s="13"/>
      <c r="K227" s="13">
        <v>22</v>
      </c>
      <c r="L227" s="13"/>
      <c r="M227" s="13"/>
      <c r="N227" s="8" t="s">
        <v>221</v>
      </c>
      <c r="O227" s="8"/>
    </row>
    <row r="228" spans="1:15" ht="28" x14ac:dyDescent="0.15">
      <c r="A228" s="15" t="s">
        <v>665</v>
      </c>
      <c r="B228" s="8" t="s">
        <v>656</v>
      </c>
      <c r="C228" s="8" t="s">
        <v>657</v>
      </c>
      <c r="D228" s="8" t="s">
        <v>121</v>
      </c>
      <c r="E228" s="13" t="s">
        <v>228</v>
      </c>
      <c r="F228" s="13" t="s">
        <v>246</v>
      </c>
      <c r="G228" s="13" t="s">
        <v>220</v>
      </c>
      <c r="H228" s="13" t="s">
        <v>157</v>
      </c>
      <c r="I228" s="13"/>
      <c r="J228" s="13"/>
      <c r="K228" s="13">
        <v>14</v>
      </c>
      <c r="L228" s="13"/>
      <c r="M228" s="13"/>
      <c r="N228" s="8" t="s">
        <v>221</v>
      </c>
      <c r="O228" s="8"/>
    </row>
    <row r="229" spans="1:15" ht="56" x14ac:dyDescent="0.15">
      <c r="A229" s="15" t="s">
        <v>666</v>
      </c>
      <c r="B229" s="8" t="s">
        <v>656</v>
      </c>
      <c r="C229" s="8" t="s">
        <v>657</v>
      </c>
      <c r="D229" s="8" t="s">
        <v>667</v>
      </c>
      <c r="E229" s="13" t="s">
        <v>228</v>
      </c>
      <c r="F229" s="13" t="s">
        <v>249</v>
      </c>
      <c r="G229" s="13" t="s">
        <v>150</v>
      </c>
      <c r="H229" s="13" t="s">
        <v>151</v>
      </c>
      <c r="I229" s="13" t="s">
        <v>668</v>
      </c>
      <c r="J229" s="13" t="s">
        <v>153</v>
      </c>
      <c r="K229" s="13">
        <v>15</v>
      </c>
      <c r="L229" s="13">
        <v>15</v>
      </c>
      <c r="M229" s="13">
        <v>0</v>
      </c>
      <c r="N229" s="8" t="s">
        <v>669</v>
      </c>
      <c r="O229" s="8" t="s">
        <v>166</v>
      </c>
    </row>
    <row r="230" spans="1:15" ht="28" x14ac:dyDescent="0.15">
      <c r="A230" s="15" t="s">
        <v>670</v>
      </c>
      <c r="B230" s="8" t="s">
        <v>671</v>
      </c>
      <c r="C230" s="8" t="s">
        <v>672</v>
      </c>
      <c r="D230" s="8" t="s">
        <v>112</v>
      </c>
      <c r="E230" s="13" t="s">
        <v>218</v>
      </c>
      <c r="F230" s="13" t="s">
        <v>238</v>
      </c>
      <c r="G230" s="13" t="s">
        <v>220</v>
      </c>
      <c r="H230" s="13" t="s">
        <v>157</v>
      </c>
      <c r="I230" s="13"/>
      <c r="J230" s="13"/>
      <c r="K230" s="13">
        <v>9</v>
      </c>
      <c r="L230" s="13"/>
      <c r="M230" s="13"/>
      <c r="N230" s="8" t="s">
        <v>221</v>
      </c>
      <c r="O230" s="8"/>
    </row>
    <row r="231" spans="1:15" ht="28" x14ac:dyDescent="0.15">
      <c r="A231" s="15" t="s">
        <v>673</v>
      </c>
      <c r="B231" s="8" t="s">
        <v>671</v>
      </c>
      <c r="C231" s="8" t="s">
        <v>672</v>
      </c>
      <c r="D231" s="8" t="s">
        <v>674</v>
      </c>
      <c r="E231" s="13" t="s">
        <v>218</v>
      </c>
      <c r="F231" s="13" t="s">
        <v>238</v>
      </c>
      <c r="G231" s="13" t="s">
        <v>220</v>
      </c>
      <c r="H231" s="13" t="s">
        <v>157</v>
      </c>
      <c r="I231" s="13"/>
      <c r="J231" s="13"/>
      <c r="K231" s="13">
        <v>9</v>
      </c>
      <c r="L231" s="13"/>
      <c r="M231" s="13"/>
      <c r="N231" s="8" t="s">
        <v>221</v>
      </c>
      <c r="O231" s="8"/>
    </row>
    <row r="232" spans="1:15" ht="28" x14ac:dyDescent="0.15">
      <c r="A232" s="15" t="s">
        <v>675</v>
      </c>
      <c r="B232" s="8" t="s">
        <v>671</v>
      </c>
      <c r="C232" s="8" t="s">
        <v>672</v>
      </c>
      <c r="D232" s="8" t="s">
        <v>33</v>
      </c>
      <c r="E232" s="13" t="s">
        <v>218</v>
      </c>
      <c r="F232" s="13" t="s">
        <v>239</v>
      </c>
      <c r="G232" s="13" t="s">
        <v>220</v>
      </c>
      <c r="H232" s="13" t="s">
        <v>157</v>
      </c>
      <c r="I232" s="13"/>
      <c r="J232" s="13"/>
      <c r="K232" s="13">
        <v>10</v>
      </c>
      <c r="L232" s="13"/>
      <c r="M232" s="13"/>
      <c r="N232" s="8" t="s">
        <v>221</v>
      </c>
      <c r="O232" s="8"/>
    </row>
    <row r="233" spans="1:15" ht="42" x14ac:dyDescent="0.15">
      <c r="A233" s="15" t="s">
        <v>676</v>
      </c>
      <c r="B233" s="8" t="s">
        <v>671</v>
      </c>
      <c r="C233" s="8" t="s">
        <v>672</v>
      </c>
      <c r="D233" s="8" t="s">
        <v>677</v>
      </c>
      <c r="E233" s="13" t="s">
        <v>218</v>
      </c>
      <c r="F233" s="13" t="s">
        <v>274</v>
      </c>
      <c r="G233" s="13" t="s">
        <v>220</v>
      </c>
      <c r="H233" s="13" t="s">
        <v>157</v>
      </c>
      <c r="I233" s="13"/>
      <c r="J233" s="13"/>
      <c r="K233" s="13">
        <v>30</v>
      </c>
      <c r="L233" s="13"/>
      <c r="M233" s="13"/>
      <c r="N233" s="8" t="s">
        <v>221</v>
      </c>
      <c r="O233" s="8"/>
    </row>
    <row r="234" spans="1:15" ht="28" x14ac:dyDescent="0.15">
      <c r="A234" s="15" t="s">
        <v>678</v>
      </c>
      <c r="B234" s="8" t="s">
        <v>671</v>
      </c>
      <c r="C234" s="8" t="s">
        <v>672</v>
      </c>
      <c r="D234" s="8" t="s">
        <v>679</v>
      </c>
      <c r="E234" s="13" t="s">
        <v>218</v>
      </c>
      <c r="F234" s="13" t="s">
        <v>250</v>
      </c>
      <c r="G234" s="13" t="s">
        <v>220</v>
      </c>
      <c r="H234" s="13" t="s">
        <v>157</v>
      </c>
      <c r="I234" s="13"/>
      <c r="J234" s="13"/>
      <c r="K234" s="13">
        <v>16</v>
      </c>
      <c r="L234" s="13"/>
      <c r="M234" s="13"/>
      <c r="N234" s="8" t="s">
        <v>221</v>
      </c>
      <c r="O234" s="8"/>
    </row>
    <row r="235" spans="1:15" ht="28" x14ac:dyDescent="0.15">
      <c r="A235" s="15" t="s">
        <v>680</v>
      </c>
      <c r="B235" s="8" t="s">
        <v>671</v>
      </c>
      <c r="C235" s="8" t="s">
        <v>672</v>
      </c>
      <c r="D235" s="8" t="s">
        <v>681</v>
      </c>
      <c r="E235" s="13" t="s">
        <v>228</v>
      </c>
      <c r="F235" s="13" t="s">
        <v>233</v>
      </c>
      <c r="G235" s="13" t="s">
        <v>220</v>
      </c>
      <c r="H235" s="13" t="s">
        <v>157</v>
      </c>
      <c r="I235" s="13"/>
      <c r="J235" s="13"/>
      <c r="K235" s="13">
        <v>12</v>
      </c>
      <c r="L235" s="13"/>
      <c r="M235" s="13"/>
      <c r="N235" s="8" t="s">
        <v>221</v>
      </c>
      <c r="O235" s="8"/>
    </row>
    <row r="236" spans="1:15" ht="28" x14ac:dyDescent="0.15">
      <c r="A236" s="15" t="s">
        <v>682</v>
      </c>
      <c r="B236" s="8" t="s">
        <v>671</v>
      </c>
      <c r="C236" s="8" t="s">
        <v>672</v>
      </c>
      <c r="D236" s="8" t="s">
        <v>683</v>
      </c>
      <c r="E236" s="13" t="s">
        <v>228</v>
      </c>
      <c r="F236" s="13" t="s">
        <v>238</v>
      </c>
      <c r="G236" s="13" t="s">
        <v>220</v>
      </c>
      <c r="H236" s="13" t="s">
        <v>157</v>
      </c>
      <c r="I236" s="13"/>
      <c r="J236" s="13"/>
      <c r="K236" s="13">
        <v>9</v>
      </c>
      <c r="L236" s="13"/>
      <c r="M236" s="13"/>
      <c r="N236" s="8" t="s">
        <v>221</v>
      </c>
      <c r="O236" s="8"/>
    </row>
    <row r="237" spans="1:15" ht="28" x14ac:dyDescent="0.15">
      <c r="A237" s="15" t="s">
        <v>684</v>
      </c>
      <c r="B237" s="8" t="s">
        <v>671</v>
      </c>
      <c r="C237" s="8" t="s">
        <v>672</v>
      </c>
      <c r="D237" s="8" t="s">
        <v>102</v>
      </c>
      <c r="E237" s="13" t="s">
        <v>228</v>
      </c>
      <c r="F237" s="13" t="s">
        <v>250</v>
      </c>
      <c r="G237" s="13" t="s">
        <v>220</v>
      </c>
      <c r="H237" s="13" t="s">
        <v>157</v>
      </c>
      <c r="I237" s="13"/>
      <c r="J237" s="13"/>
      <c r="K237" s="13">
        <v>16</v>
      </c>
      <c r="L237" s="13"/>
      <c r="M237" s="13"/>
      <c r="N237" s="8" t="s">
        <v>221</v>
      </c>
      <c r="O237" s="8"/>
    </row>
    <row r="238" spans="1:15" ht="28" x14ac:dyDescent="0.15">
      <c r="A238" s="15" t="s">
        <v>685</v>
      </c>
      <c r="B238" s="8" t="s">
        <v>671</v>
      </c>
      <c r="C238" s="8" t="s">
        <v>672</v>
      </c>
      <c r="D238" s="8" t="s">
        <v>686</v>
      </c>
      <c r="E238" s="13" t="s">
        <v>228</v>
      </c>
      <c r="F238" s="13" t="s">
        <v>262</v>
      </c>
      <c r="G238" s="13" t="s">
        <v>220</v>
      </c>
      <c r="H238" s="13" t="s">
        <v>157</v>
      </c>
      <c r="I238" s="13"/>
      <c r="J238" s="13"/>
      <c r="K238" s="13">
        <v>24</v>
      </c>
      <c r="L238" s="13"/>
      <c r="M238" s="13"/>
      <c r="N238" s="8" t="s">
        <v>221</v>
      </c>
      <c r="O238" s="8"/>
    </row>
    <row r="239" spans="1:15" ht="28" x14ac:dyDescent="0.15">
      <c r="A239" s="15" t="s">
        <v>687</v>
      </c>
      <c r="B239" s="8" t="s">
        <v>688</v>
      </c>
      <c r="C239" s="8" t="s">
        <v>53</v>
      </c>
      <c r="D239" s="8" t="s">
        <v>79</v>
      </c>
      <c r="E239" s="13" t="s">
        <v>218</v>
      </c>
      <c r="F239" s="13" t="s">
        <v>240</v>
      </c>
      <c r="G239" s="13" t="s">
        <v>220</v>
      </c>
      <c r="H239" s="13" t="s">
        <v>157</v>
      </c>
      <c r="I239" s="13"/>
      <c r="J239" s="13"/>
      <c r="K239" s="13">
        <v>13</v>
      </c>
      <c r="L239" s="13"/>
      <c r="M239" s="13"/>
      <c r="N239" s="8" t="s">
        <v>221</v>
      </c>
      <c r="O239" s="8"/>
    </row>
    <row r="240" spans="1:15" ht="28" x14ac:dyDescent="0.15">
      <c r="A240" s="15" t="s">
        <v>689</v>
      </c>
      <c r="B240" s="8" t="s">
        <v>688</v>
      </c>
      <c r="C240" s="8" t="s">
        <v>53</v>
      </c>
      <c r="D240" s="8" t="s">
        <v>690</v>
      </c>
      <c r="E240" s="13" t="s">
        <v>218</v>
      </c>
      <c r="F240" s="13" t="s">
        <v>230</v>
      </c>
      <c r="G240" s="13" t="s">
        <v>220</v>
      </c>
      <c r="H240" s="13" t="s">
        <v>157</v>
      </c>
      <c r="I240" s="13"/>
      <c r="J240" s="13"/>
      <c r="K240" s="13">
        <v>5</v>
      </c>
      <c r="L240" s="13"/>
      <c r="M240" s="13"/>
      <c r="N240" s="8" t="s">
        <v>221</v>
      </c>
      <c r="O240" s="8"/>
    </row>
    <row r="241" spans="1:15" ht="28" x14ac:dyDescent="0.15">
      <c r="A241" s="15" t="s">
        <v>691</v>
      </c>
      <c r="B241" s="8" t="s">
        <v>688</v>
      </c>
      <c r="C241" s="8" t="s">
        <v>53</v>
      </c>
      <c r="D241" s="8" t="s">
        <v>62</v>
      </c>
      <c r="E241" s="13" t="s">
        <v>218</v>
      </c>
      <c r="F241" s="13" t="s">
        <v>238</v>
      </c>
      <c r="G241" s="13" t="s">
        <v>220</v>
      </c>
      <c r="H241" s="13" t="s">
        <v>157</v>
      </c>
      <c r="I241" s="13"/>
      <c r="J241" s="13"/>
      <c r="K241" s="13">
        <v>9</v>
      </c>
      <c r="L241" s="13"/>
      <c r="M241" s="13"/>
      <c r="N241" s="8" t="s">
        <v>221</v>
      </c>
      <c r="O241" s="8"/>
    </row>
    <row r="242" spans="1:15" ht="28" x14ac:dyDescent="0.15">
      <c r="A242" s="15" t="s">
        <v>692</v>
      </c>
      <c r="B242" s="8" t="s">
        <v>688</v>
      </c>
      <c r="C242" s="8" t="s">
        <v>53</v>
      </c>
      <c r="D242" s="8" t="s">
        <v>54</v>
      </c>
      <c r="E242" s="13" t="s">
        <v>228</v>
      </c>
      <c r="F242" s="13" t="s">
        <v>236</v>
      </c>
      <c r="G242" s="13" t="s">
        <v>220</v>
      </c>
      <c r="H242" s="13" t="s">
        <v>157</v>
      </c>
      <c r="I242" s="13"/>
      <c r="J242" s="13"/>
      <c r="K242" s="13">
        <v>8</v>
      </c>
      <c r="L242" s="13"/>
      <c r="M242" s="13"/>
      <c r="N242" s="8" t="s">
        <v>221</v>
      </c>
      <c r="O242" s="8"/>
    </row>
    <row r="243" spans="1:15" ht="28" x14ac:dyDescent="0.15">
      <c r="A243" s="15" t="s">
        <v>693</v>
      </c>
      <c r="B243" s="8" t="s">
        <v>688</v>
      </c>
      <c r="C243" s="8" t="s">
        <v>53</v>
      </c>
      <c r="D243" s="8" t="s">
        <v>64</v>
      </c>
      <c r="E243" s="13" t="s">
        <v>228</v>
      </c>
      <c r="F243" s="13" t="s">
        <v>238</v>
      </c>
      <c r="G243" s="13" t="s">
        <v>220</v>
      </c>
      <c r="H243" s="13" t="s">
        <v>157</v>
      </c>
      <c r="I243" s="13"/>
      <c r="J243" s="13"/>
      <c r="K243" s="13">
        <v>9</v>
      </c>
      <c r="L243" s="13"/>
      <c r="M243" s="13"/>
      <c r="N243" s="8" t="s">
        <v>221</v>
      </c>
      <c r="O243" s="8"/>
    </row>
    <row r="244" spans="1:15" ht="28" x14ac:dyDescent="0.15">
      <c r="A244" s="15" t="s">
        <v>694</v>
      </c>
      <c r="B244" s="8" t="s">
        <v>688</v>
      </c>
      <c r="C244" s="8" t="s">
        <v>53</v>
      </c>
      <c r="D244" s="8" t="s">
        <v>695</v>
      </c>
      <c r="E244" s="13" t="s">
        <v>228</v>
      </c>
      <c r="F244" s="13" t="s">
        <v>236</v>
      </c>
      <c r="G244" s="13" t="s">
        <v>220</v>
      </c>
      <c r="H244" s="13" t="s">
        <v>157</v>
      </c>
      <c r="I244" s="13"/>
      <c r="J244" s="13"/>
      <c r="K244" s="13">
        <v>8</v>
      </c>
      <c r="L244" s="13"/>
      <c r="M244" s="13"/>
      <c r="N244" s="8" t="s">
        <v>221</v>
      </c>
      <c r="O244" s="8"/>
    </row>
  </sheetData>
  <conditionalFormatting sqref="G2:G244">
    <cfRule type="expression" dxfId="32" priority="1">
      <formula>$G2="Left"</formula>
    </cfRule>
    <cfRule type="expression" dxfId="31" priority="2">
      <formula>$G2="Extreme left"</formula>
    </cfRule>
    <cfRule type="expression" dxfId="30" priority="3">
      <formula>$G2="Right"</formula>
    </cfRule>
    <cfRule type="expression" dxfId="29" priority="4">
      <formula>$G2="Extreme right"</formula>
    </cfRule>
    <cfRule type="expression" dxfId="28" priority="5">
      <formula>$G2="Not clearly left/right"</formula>
    </cfRule>
    <cfRule type="expression" dxfId="27" priority="6">
      <formula>$G2="Not coded / excluded"</formula>
    </cfRule>
  </conditionalFormatting>
  <conditionalFormatting sqref="H2:H244">
    <cfRule type="containsText" dxfId="26" priority="7" operator="containsText" text="Yes"/>
  </conditionalFormatting>
  <dataValidations count="2">
    <dataValidation type="list" sqref="G2:G244" xr:uid="{00000000-0002-0000-0100-000000000000}">
      <formula1>"Left,Extreme left,Right,Extreme right,Not coded / excluded"</formula1>
    </dataValidation>
    <dataValidation type="list" sqref="H2:H244" xr:uid="{00000000-0002-0000-0100-000001000000}">
      <formula1>"Yes,No"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
  <sheetViews>
    <sheetView showGridLines="0" tabSelected="1" topLeftCell="E25" zoomScale="190" workbookViewId="0">
      <selection activeCell="F31" sqref="F31"/>
    </sheetView>
  </sheetViews>
  <sheetFormatPr baseColWidth="10" defaultColWidth="8.83203125" defaultRowHeight="13" x14ac:dyDescent="0.15"/>
  <cols>
    <col min="1" max="1" width="16" customWidth="1"/>
    <col min="2" max="2" width="12" customWidth="1"/>
    <col min="3" max="3" width="23" customWidth="1"/>
    <col min="4" max="4" width="14" customWidth="1"/>
    <col min="5" max="5" width="46" customWidth="1"/>
    <col min="6" max="6" width="78" customWidth="1"/>
    <col min="7" max="8" width="22" customWidth="1"/>
    <col min="9" max="10" width="15" customWidth="1"/>
    <col min="11" max="11" width="48" customWidth="1"/>
    <col min="12" max="12" width="52" customWidth="1"/>
  </cols>
  <sheetData>
    <row r="1" spans="1:12" ht="30" customHeight="1" x14ac:dyDescent="0.15">
      <c r="A1" s="2" t="s">
        <v>696</v>
      </c>
      <c r="B1" s="3" t="s">
        <v>697</v>
      </c>
      <c r="C1" s="3" t="s">
        <v>698</v>
      </c>
      <c r="D1" s="3" t="s">
        <v>699</v>
      </c>
      <c r="E1" s="3" t="s">
        <v>2</v>
      </c>
      <c r="F1" s="3" t="s">
        <v>700</v>
      </c>
      <c r="G1" s="3" t="s">
        <v>701</v>
      </c>
      <c r="H1" s="3" t="s">
        <v>702</v>
      </c>
      <c r="I1" s="3" t="s">
        <v>703</v>
      </c>
      <c r="J1" s="3" t="s">
        <v>704</v>
      </c>
      <c r="K1" s="3" t="s">
        <v>705</v>
      </c>
      <c r="L1" s="4" t="s">
        <v>706</v>
      </c>
    </row>
    <row r="2" spans="1:12" ht="24" customHeight="1" x14ac:dyDescent="0.15">
      <c r="A2" s="15" t="s">
        <v>707</v>
      </c>
      <c r="B2" s="15" t="s">
        <v>708</v>
      </c>
      <c r="C2" s="13" t="s">
        <v>709</v>
      </c>
      <c r="D2" s="13">
        <v>181</v>
      </c>
      <c r="E2" s="8" t="s">
        <v>9</v>
      </c>
      <c r="F2" s="8" t="s">
        <v>575</v>
      </c>
      <c r="G2" s="13" t="s">
        <v>710</v>
      </c>
      <c r="H2" s="13" t="s">
        <v>162</v>
      </c>
      <c r="I2" s="13">
        <v>10</v>
      </c>
      <c r="J2" s="13">
        <v>0</v>
      </c>
      <c r="K2" s="8" t="s">
        <v>563</v>
      </c>
      <c r="L2" s="8" t="s">
        <v>711</v>
      </c>
    </row>
    <row r="3" spans="1:12" ht="24" customHeight="1" x14ac:dyDescent="0.15">
      <c r="A3" s="15" t="s">
        <v>712</v>
      </c>
      <c r="B3" s="15" t="s">
        <v>708</v>
      </c>
      <c r="C3" s="13" t="s">
        <v>709</v>
      </c>
      <c r="D3" s="13">
        <v>181</v>
      </c>
      <c r="E3" s="8" t="s">
        <v>9</v>
      </c>
      <c r="F3" s="8" t="s">
        <v>576</v>
      </c>
      <c r="G3" s="13" t="s">
        <v>713</v>
      </c>
      <c r="H3" s="13" t="s">
        <v>164</v>
      </c>
      <c r="I3" s="13">
        <v>10</v>
      </c>
      <c r="J3" s="13">
        <v>0</v>
      </c>
      <c r="K3" s="8" t="s">
        <v>563</v>
      </c>
      <c r="L3" s="8" t="s">
        <v>711</v>
      </c>
    </row>
    <row r="4" spans="1:12" ht="15" customHeight="1" x14ac:dyDescent="0.15">
      <c r="A4" s="15" t="s">
        <v>714</v>
      </c>
      <c r="B4" s="15" t="s">
        <v>715</v>
      </c>
      <c r="C4" s="13" t="s">
        <v>716</v>
      </c>
      <c r="D4" s="13">
        <v>1</v>
      </c>
      <c r="E4" s="8" t="s">
        <v>9</v>
      </c>
      <c r="F4" s="31" t="s">
        <v>717</v>
      </c>
      <c r="G4" s="13" t="s">
        <v>710</v>
      </c>
      <c r="H4" s="13" t="s">
        <v>150</v>
      </c>
      <c r="I4" s="13">
        <v>18</v>
      </c>
      <c r="J4" s="13">
        <v>0</v>
      </c>
      <c r="K4" s="8"/>
      <c r="L4" s="8" t="s">
        <v>718</v>
      </c>
    </row>
    <row r="5" spans="1:12" ht="24" customHeight="1" x14ac:dyDescent="0.15">
      <c r="A5" s="15" t="s">
        <v>719</v>
      </c>
      <c r="B5" s="15" t="s">
        <v>715</v>
      </c>
      <c r="C5" s="13" t="s">
        <v>716</v>
      </c>
      <c r="D5" s="13">
        <v>1</v>
      </c>
      <c r="E5" s="8" t="s">
        <v>9</v>
      </c>
      <c r="F5" s="8" t="s">
        <v>152</v>
      </c>
      <c r="G5" s="13" t="s">
        <v>713</v>
      </c>
      <c r="H5" s="13" t="s">
        <v>153</v>
      </c>
      <c r="I5" s="13">
        <v>18</v>
      </c>
      <c r="J5" s="13">
        <v>0</v>
      </c>
      <c r="K5" s="8"/>
      <c r="L5" s="8" t="s">
        <v>718</v>
      </c>
    </row>
    <row r="6" spans="1:12" ht="24" customHeight="1" x14ac:dyDescent="0.15">
      <c r="A6" s="15" t="s">
        <v>720</v>
      </c>
      <c r="B6" s="15" t="s">
        <v>721</v>
      </c>
      <c r="C6" s="13" t="s">
        <v>716</v>
      </c>
      <c r="D6" s="13">
        <v>18</v>
      </c>
      <c r="E6" s="8" t="s">
        <v>9</v>
      </c>
      <c r="F6" s="8" t="s">
        <v>40</v>
      </c>
      <c r="G6" s="13" t="s">
        <v>710</v>
      </c>
      <c r="H6" s="13" t="s">
        <v>162</v>
      </c>
      <c r="I6" s="13">
        <v>17</v>
      </c>
      <c r="J6" s="13">
        <v>0</v>
      </c>
      <c r="K6" s="8"/>
      <c r="L6" s="8" t="s">
        <v>711</v>
      </c>
    </row>
    <row r="7" spans="1:12" ht="24" customHeight="1" x14ac:dyDescent="0.15">
      <c r="A7" s="15" t="s">
        <v>722</v>
      </c>
      <c r="B7" s="15" t="s">
        <v>721</v>
      </c>
      <c r="C7" s="13" t="s">
        <v>716</v>
      </c>
      <c r="D7" s="13">
        <v>18</v>
      </c>
      <c r="E7" s="8" t="s">
        <v>9</v>
      </c>
      <c r="F7" s="8" t="s">
        <v>723</v>
      </c>
      <c r="G7" s="13" t="s">
        <v>713</v>
      </c>
      <c r="H7" s="13" t="s">
        <v>164</v>
      </c>
      <c r="I7" s="13">
        <v>17</v>
      </c>
      <c r="J7" s="13">
        <v>0</v>
      </c>
      <c r="K7" s="8"/>
      <c r="L7" s="8" t="s">
        <v>711</v>
      </c>
    </row>
    <row r="8" spans="1:12" ht="15" customHeight="1" x14ac:dyDescent="0.15">
      <c r="A8" s="15" t="s">
        <v>724</v>
      </c>
      <c r="B8" s="15" t="s">
        <v>725</v>
      </c>
      <c r="C8" s="13" t="s">
        <v>716</v>
      </c>
      <c r="D8" s="13">
        <v>66</v>
      </c>
      <c r="E8" s="8" t="s">
        <v>9</v>
      </c>
      <c r="F8" s="8" t="s">
        <v>101</v>
      </c>
      <c r="G8" s="13" t="s">
        <v>710</v>
      </c>
      <c r="H8" s="13" t="s">
        <v>153</v>
      </c>
      <c r="I8" s="13">
        <v>16</v>
      </c>
      <c r="J8" s="13">
        <v>0</v>
      </c>
      <c r="K8" s="8"/>
      <c r="L8" s="8" t="s">
        <v>726</v>
      </c>
    </row>
    <row r="9" spans="1:12" ht="24" customHeight="1" x14ac:dyDescent="0.15">
      <c r="A9" s="15" t="s">
        <v>727</v>
      </c>
      <c r="B9" s="15" t="s">
        <v>725</v>
      </c>
      <c r="C9" s="13" t="s">
        <v>716</v>
      </c>
      <c r="D9" s="13">
        <v>66</v>
      </c>
      <c r="E9" s="8" t="s">
        <v>9</v>
      </c>
      <c r="F9" s="8" t="s">
        <v>191</v>
      </c>
      <c r="G9" s="13" t="s">
        <v>713</v>
      </c>
      <c r="H9" s="13" t="s">
        <v>150</v>
      </c>
      <c r="I9" s="13">
        <v>16</v>
      </c>
      <c r="J9" s="13">
        <v>0</v>
      </c>
      <c r="K9" s="8"/>
      <c r="L9" s="8" t="s">
        <v>726</v>
      </c>
    </row>
    <row r="10" spans="1:12" ht="24" customHeight="1" x14ac:dyDescent="0.15">
      <c r="A10" s="15" t="s">
        <v>728</v>
      </c>
      <c r="B10" s="15" t="s">
        <v>729</v>
      </c>
      <c r="C10" s="13" t="s">
        <v>709</v>
      </c>
      <c r="D10" s="13">
        <v>23</v>
      </c>
      <c r="E10" s="8" t="s">
        <v>730</v>
      </c>
      <c r="F10" s="8" t="s">
        <v>259</v>
      </c>
      <c r="G10" s="13" t="s">
        <v>710</v>
      </c>
      <c r="H10" s="13" t="s">
        <v>162</v>
      </c>
      <c r="I10" s="13">
        <v>9</v>
      </c>
      <c r="J10" s="13">
        <v>0</v>
      </c>
      <c r="K10" s="8" t="s">
        <v>257</v>
      </c>
      <c r="L10" s="8" t="s">
        <v>711</v>
      </c>
    </row>
    <row r="11" spans="1:12" ht="24" customHeight="1" x14ac:dyDescent="0.15">
      <c r="A11" s="15" t="s">
        <v>731</v>
      </c>
      <c r="B11" s="15" t="s">
        <v>729</v>
      </c>
      <c r="C11" s="13" t="s">
        <v>709</v>
      </c>
      <c r="D11" s="13">
        <v>23</v>
      </c>
      <c r="E11" s="8" t="s">
        <v>730</v>
      </c>
      <c r="F11" s="8" t="s">
        <v>260</v>
      </c>
      <c r="G11" s="13" t="s">
        <v>713</v>
      </c>
      <c r="H11" s="13" t="s">
        <v>164</v>
      </c>
      <c r="I11" s="13">
        <v>9</v>
      </c>
      <c r="J11" s="13">
        <v>0</v>
      </c>
      <c r="K11" s="8" t="s">
        <v>257</v>
      </c>
      <c r="L11" s="8" t="s">
        <v>711</v>
      </c>
    </row>
    <row r="12" spans="1:12" ht="24" customHeight="1" x14ac:dyDescent="0.15">
      <c r="A12" s="15" t="s">
        <v>732</v>
      </c>
      <c r="B12" s="15" t="s">
        <v>733</v>
      </c>
      <c r="C12" s="13" t="s">
        <v>709</v>
      </c>
      <c r="D12" s="13">
        <v>24</v>
      </c>
      <c r="E12" s="8" t="s">
        <v>730</v>
      </c>
      <c r="F12" s="8" t="s">
        <v>263</v>
      </c>
      <c r="G12" s="13" t="s">
        <v>710</v>
      </c>
      <c r="H12" s="13" t="s">
        <v>162</v>
      </c>
      <c r="I12" s="13">
        <v>12</v>
      </c>
      <c r="J12" s="13">
        <v>0</v>
      </c>
      <c r="K12" s="8" t="s">
        <v>257</v>
      </c>
      <c r="L12" s="8" t="s">
        <v>711</v>
      </c>
    </row>
    <row r="13" spans="1:12" ht="24" customHeight="1" x14ac:dyDescent="0.15">
      <c r="A13" s="15" t="s">
        <v>734</v>
      </c>
      <c r="B13" s="15" t="s">
        <v>733</v>
      </c>
      <c r="C13" s="13" t="s">
        <v>709</v>
      </c>
      <c r="D13" s="13">
        <v>24</v>
      </c>
      <c r="E13" s="8" t="s">
        <v>730</v>
      </c>
      <c r="F13" s="8" t="s">
        <v>264</v>
      </c>
      <c r="G13" s="13" t="s">
        <v>713</v>
      </c>
      <c r="H13" s="13" t="s">
        <v>164</v>
      </c>
      <c r="I13" s="13">
        <v>12</v>
      </c>
      <c r="J13" s="13">
        <v>0</v>
      </c>
      <c r="K13" s="8" t="s">
        <v>257</v>
      </c>
      <c r="L13" s="8" t="s">
        <v>711</v>
      </c>
    </row>
    <row r="14" spans="1:12" ht="24" customHeight="1" x14ac:dyDescent="0.15">
      <c r="A14" s="15" t="s">
        <v>735</v>
      </c>
      <c r="B14" s="15" t="s">
        <v>736</v>
      </c>
      <c r="C14" s="13" t="s">
        <v>716</v>
      </c>
      <c r="D14" s="13">
        <v>91</v>
      </c>
      <c r="E14" s="8" t="s">
        <v>730</v>
      </c>
      <c r="F14" s="8" t="s">
        <v>129</v>
      </c>
      <c r="G14" s="13" t="s">
        <v>710</v>
      </c>
      <c r="H14" s="13" t="s">
        <v>153</v>
      </c>
      <c r="I14" s="13">
        <v>19</v>
      </c>
      <c r="J14" s="13">
        <v>0</v>
      </c>
      <c r="K14" s="8"/>
      <c r="L14" s="8" t="s">
        <v>726</v>
      </c>
    </row>
    <row r="15" spans="1:12" ht="24" customHeight="1" x14ac:dyDescent="0.15">
      <c r="A15" s="15" t="s">
        <v>737</v>
      </c>
      <c r="B15" s="15" t="s">
        <v>736</v>
      </c>
      <c r="C15" s="13" t="s">
        <v>716</v>
      </c>
      <c r="D15" s="13">
        <v>91</v>
      </c>
      <c r="E15" s="8" t="s">
        <v>730</v>
      </c>
      <c r="F15" s="8" t="s">
        <v>203</v>
      </c>
      <c r="G15" s="13" t="s">
        <v>713</v>
      </c>
      <c r="H15" s="13" t="s">
        <v>150</v>
      </c>
      <c r="I15" s="13">
        <v>19</v>
      </c>
      <c r="J15" s="13">
        <v>0</v>
      </c>
      <c r="K15" s="8"/>
      <c r="L15" s="8" t="s">
        <v>726</v>
      </c>
    </row>
    <row r="16" spans="1:12" ht="24" customHeight="1" x14ac:dyDescent="0.15">
      <c r="A16" s="15" t="s">
        <v>738</v>
      </c>
      <c r="B16" s="15" t="s">
        <v>739</v>
      </c>
      <c r="C16" s="13" t="s">
        <v>716</v>
      </c>
      <c r="D16" s="13">
        <v>92</v>
      </c>
      <c r="E16" s="8" t="s">
        <v>730</v>
      </c>
      <c r="F16" s="8" t="s">
        <v>130</v>
      </c>
      <c r="G16" s="13" t="s">
        <v>710</v>
      </c>
      <c r="H16" s="13" t="s">
        <v>153</v>
      </c>
      <c r="I16" s="13">
        <v>19</v>
      </c>
      <c r="J16" s="13">
        <v>0</v>
      </c>
      <c r="K16" s="8"/>
      <c r="L16" s="8" t="s">
        <v>726</v>
      </c>
    </row>
    <row r="17" spans="1:12" ht="24" customHeight="1" x14ac:dyDescent="0.15">
      <c r="A17" s="15" t="s">
        <v>740</v>
      </c>
      <c r="B17" s="15" t="s">
        <v>739</v>
      </c>
      <c r="C17" s="13" t="s">
        <v>716</v>
      </c>
      <c r="D17" s="13">
        <v>92</v>
      </c>
      <c r="E17" s="8" t="s">
        <v>730</v>
      </c>
      <c r="F17" s="8" t="s">
        <v>205</v>
      </c>
      <c r="G17" s="13" t="s">
        <v>713</v>
      </c>
      <c r="H17" s="13" t="s">
        <v>150</v>
      </c>
      <c r="I17" s="13">
        <v>19</v>
      </c>
      <c r="J17" s="13">
        <v>0</v>
      </c>
      <c r="K17" s="8"/>
      <c r="L17" s="8" t="s">
        <v>726</v>
      </c>
    </row>
    <row r="18" spans="1:12" ht="24" customHeight="1" x14ac:dyDescent="0.15">
      <c r="A18" s="15" t="s">
        <v>741</v>
      </c>
      <c r="B18" s="15" t="s">
        <v>742</v>
      </c>
      <c r="C18" s="13" t="s">
        <v>709</v>
      </c>
      <c r="D18" s="13">
        <v>228</v>
      </c>
      <c r="E18" s="8" t="s">
        <v>20</v>
      </c>
      <c r="F18" s="8" t="s">
        <v>667</v>
      </c>
      <c r="G18" s="13" t="s">
        <v>710</v>
      </c>
      <c r="H18" s="13" t="s">
        <v>150</v>
      </c>
      <c r="I18" s="13">
        <v>15</v>
      </c>
      <c r="J18" s="13">
        <v>0</v>
      </c>
      <c r="K18" s="8" t="s">
        <v>656</v>
      </c>
      <c r="L18" s="8" t="s">
        <v>743</v>
      </c>
    </row>
    <row r="19" spans="1:12" ht="24" customHeight="1" x14ac:dyDescent="0.15">
      <c r="A19" s="15" t="s">
        <v>744</v>
      </c>
      <c r="B19" s="15" t="s">
        <v>742</v>
      </c>
      <c r="C19" s="13" t="s">
        <v>709</v>
      </c>
      <c r="D19" s="13">
        <v>228</v>
      </c>
      <c r="E19" s="8" t="s">
        <v>20</v>
      </c>
      <c r="F19" s="8" t="s">
        <v>668</v>
      </c>
      <c r="G19" s="13" t="s">
        <v>713</v>
      </c>
      <c r="H19" s="13" t="s">
        <v>153</v>
      </c>
      <c r="I19" s="13">
        <v>15</v>
      </c>
      <c r="J19" s="13">
        <v>0</v>
      </c>
      <c r="K19" s="8" t="s">
        <v>656</v>
      </c>
      <c r="L19" s="8" t="s">
        <v>743</v>
      </c>
    </row>
    <row r="20" spans="1:12" ht="15" customHeight="1" x14ac:dyDescent="0.15">
      <c r="A20" s="15" t="s">
        <v>745</v>
      </c>
      <c r="B20" s="15" t="s">
        <v>746</v>
      </c>
      <c r="C20" s="13" t="s">
        <v>716</v>
      </c>
      <c r="D20" s="13">
        <v>7</v>
      </c>
      <c r="E20" s="8" t="s">
        <v>20</v>
      </c>
      <c r="F20" s="8" t="s">
        <v>21</v>
      </c>
      <c r="G20" s="13" t="s">
        <v>710</v>
      </c>
      <c r="H20" s="13" t="s">
        <v>162</v>
      </c>
      <c r="I20" s="13">
        <v>15</v>
      </c>
      <c r="J20" s="13">
        <v>0</v>
      </c>
      <c r="K20" s="8"/>
      <c r="L20" s="8" t="s">
        <v>743</v>
      </c>
    </row>
    <row r="21" spans="1:12" ht="24" customHeight="1" x14ac:dyDescent="0.15">
      <c r="A21" s="15" t="s">
        <v>747</v>
      </c>
      <c r="B21" s="15" t="s">
        <v>746</v>
      </c>
      <c r="C21" s="13" t="s">
        <v>716</v>
      </c>
      <c r="D21" s="13">
        <v>7</v>
      </c>
      <c r="E21" s="8" t="s">
        <v>20</v>
      </c>
      <c r="F21" s="8" t="s">
        <v>163</v>
      </c>
      <c r="G21" s="13" t="s">
        <v>713</v>
      </c>
      <c r="H21" s="13" t="s">
        <v>164</v>
      </c>
      <c r="I21" s="13">
        <v>15</v>
      </c>
      <c r="J21" s="13">
        <v>0</v>
      </c>
      <c r="K21" s="8"/>
      <c r="L21" s="8" t="s">
        <v>743</v>
      </c>
    </row>
    <row r="22" spans="1:12" ht="24" customHeight="1" x14ac:dyDescent="0.15">
      <c r="A22" s="15" t="s">
        <v>748</v>
      </c>
      <c r="B22" s="15" t="s">
        <v>749</v>
      </c>
      <c r="C22" s="13" t="s">
        <v>716</v>
      </c>
      <c r="D22" s="13">
        <v>58</v>
      </c>
      <c r="E22" s="8" t="s">
        <v>20</v>
      </c>
      <c r="F22" s="8" t="s">
        <v>92</v>
      </c>
      <c r="G22" s="13" t="s">
        <v>710</v>
      </c>
      <c r="H22" s="13" t="s">
        <v>162</v>
      </c>
      <c r="I22" s="13">
        <v>20</v>
      </c>
      <c r="J22" s="13">
        <v>0</v>
      </c>
      <c r="K22" s="8"/>
      <c r="L22" s="8" t="s">
        <v>743</v>
      </c>
    </row>
    <row r="23" spans="1:12" ht="24" customHeight="1" x14ac:dyDescent="0.15">
      <c r="A23" s="15" t="s">
        <v>750</v>
      </c>
      <c r="B23" s="15" t="s">
        <v>749</v>
      </c>
      <c r="C23" s="13" t="s">
        <v>716</v>
      </c>
      <c r="D23" s="13">
        <v>58</v>
      </c>
      <c r="E23" s="8" t="s">
        <v>20</v>
      </c>
      <c r="F23" s="8" t="s">
        <v>187</v>
      </c>
      <c r="G23" s="13" t="s">
        <v>713</v>
      </c>
      <c r="H23" s="13" t="s">
        <v>164</v>
      </c>
      <c r="I23" s="13">
        <v>20</v>
      </c>
      <c r="J23" s="13">
        <v>0</v>
      </c>
      <c r="K23" s="8"/>
      <c r="L23" s="8" t="s">
        <v>743</v>
      </c>
    </row>
    <row r="24" spans="1:12" ht="15" customHeight="1" x14ac:dyDescent="0.15">
      <c r="A24" s="15" t="s">
        <v>751</v>
      </c>
      <c r="B24" s="15" t="s">
        <v>752</v>
      </c>
      <c r="C24" s="13" t="s">
        <v>716</v>
      </c>
      <c r="D24" s="13">
        <v>84</v>
      </c>
      <c r="E24" s="8" t="s">
        <v>20</v>
      </c>
      <c r="F24" s="8" t="s">
        <v>121</v>
      </c>
      <c r="G24" s="13" t="s">
        <v>710</v>
      </c>
      <c r="H24" s="13" t="s">
        <v>153</v>
      </c>
      <c r="I24" s="13">
        <v>14</v>
      </c>
      <c r="J24" s="13">
        <v>0</v>
      </c>
      <c r="K24" s="8"/>
      <c r="L24" s="8" t="s">
        <v>743</v>
      </c>
    </row>
    <row r="25" spans="1:12" ht="15" customHeight="1" x14ac:dyDescent="0.15">
      <c r="A25" s="15" t="s">
        <v>753</v>
      </c>
      <c r="B25" s="15" t="s">
        <v>752</v>
      </c>
      <c r="C25" s="13" t="s">
        <v>716</v>
      </c>
      <c r="D25" s="13">
        <v>84</v>
      </c>
      <c r="E25" s="8" t="s">
        <v>20</v>
      </c>
      <c r="F25" s="8" t="s">
        <v>201</v>
      </c>
      <c r="G25" s="13" t="s">
        <v>713</v>
      </c>
      <c r="H25" s="13" t="s">
        <v>150</v>
      </c>
      <c r="I25" s="13">
        <v>14</v>
      </c>
      <c r="J25" s="13">
        <v>0</v>
      </c>
      <c r="K25" s="8"/>
      <c r="L25" s="8" t="s">
        <v>743</v>
      </c>
    </row>
    <row r="26" spans="1:12" ht="24" customHeight="1" x14ac:dyDescent="0.15">
      <c r="A26" s="15" t="s">
        <v>754</v>
      </c>
      <c r="B26" s="15" t="s">
        <v>755</v>
      </c>
      <c r="C26" s="13" t="s">
        <v>709</v>
      </c>
      <c r="D26" s="13">
        <v>34</v>
      </c>
      <c r="E26" s="8" t="s">
        <v>47</v>
      </c>
      <c r="F26" s="8" t="s">
        <v>288</v>
      </c>
      <c r="G26" s="13" t="s">
        <v>710</v>
      </c>
      <c r="H26" s="13" t="s">
        <v>164</v>
      </c>
      <c r="I26" s="13">
        <v>12</v>
      </c>
      <c r="J26" s="13">
        <v>0</v>
      </c>
      <c r="K26" s="8" t="s">
        <v>286</v>
      </c>
      <c r="L26" s="8" t="s">
        <v>756</v>
      </c>
    </row>
    <row r="27" spans="1:12" ht="24" customHeight="1" x14ac:dyDescent="0.15">
      <c r="A27" s="15" t="s">
        <v>757</v>
      </c>
      <c r="B27" s="15" t="s">
        <v>755</v>
      </c>
      <c r="C27" s="13" t="s">
        <v>709</v>
      </c>
      <c r="D27" s="13">
        <v>34</v>
      </c>
      <c r="E27" s="8" t="s">
        <v>47</v>
      </c>
      <c r="F27" s="8" t="s">
        <v>289</v>
      </c>
      <c r="G27" s="13" t="s">
        <v>713</v>
      </c>
      <c r="H27" s="13" t="s">
        <v>162</v>
      </c>
      <c r="I27" s="13">
        <v>12</v>
      </c>
      <c r="J27" s="13">
        <v>0</v>
      </c>
      <c r="K27" s="8" t="s">
        <v>286</v>
      </c>
      <c r="L27" s="8" t="s">
        <v>756</v>
      </c>
    </row>
    <row r="28" spans="1:12" ht="24" customHeight="1" x14ac:dyDescent="0.15">
      <c r="A28" s="15" t="s">
        <v>758</v>
      </c>
      <c r="B28" s="15" t="s">
        <v>759</v>
      </c>
      <c r="C28" s="13" t="s">
        <v>709</v>
      </c>
      <c r="D28" s="13">
        <v>37</v>
      </c>
      <c r="E28" s="8" t="s">
        <v>47</v>
      </c>
      <c r="F28" s="8" t="s">
        <v>760</v>
      </c>
      <c r="G28" s="13" t="s">
        <v>710</v>
      </c>
      <c r="H28" s="13" t="s">
        <v>164</v>
      </c>
      <c r="I28" s="13">
        <v>11</v>
      </c>
      <c r="J28" s="13">
        <v>0</v>
      </c>
      <c r="K28" s="8" t="s">
        <v>286</v>
      </c>
      <c r="L28" s="8" t="s">
        <v>756</v>
      </c>
    </row>
    <row r="29" spans="1:12" ht="24" customHeight="1" x14ac:dyDescent="0.15">
      <c r="A29" s="15" t="s">
        <v>761</v>
      </c>
      <c r="B29" s="15" t="s">
        <v>759</v>
      </c>
      <c r="C29" s="13" t="s">
        <v>709</v>
      </c>
      <c r="D29" s="13">
        <v>37</v>
      </c>
      <c r="E29" s="8" t="s">
        <v>47</v>
      </c>
      <c r="F29" s="8" t="s">
        <v>297</v>
      </c>
      <c r="G29" s="13" t="s">
        <v>713</v>
      </c>
      <c r="H29" s="13" t="s">
        <v>162</v>
      </c>
      <c r="I29" s="13">
        <v>11</v>
      </c>
      <c r="J29" s="13">
        <v>0</v>
      </c>
      <c r="K29" s="8" t="s">
        <v>286</v>
      </c>
      <c r="L29" s="8" t="s">
        <v>756</v>
      </c>
    </row>
    <row r="30" spans="1:12" ht="15" customHeight="1" x14ac:dyDescent="0.15">
      <c r="A30" s="15" t="s">
        <v>762</v>
      </c>
      <c r="B30" s="15" t="s">
        <v>763</v>
      </c>
      <c r="C30" s="13" t="s">
        <v>716</v>
      </c>
      <c r="D30" s="13">
        <v>23</v>
      </c>
      <c r="E30" s="8" t="s">
        <v>47</v>
      </c>
      <c r="F30" s="31" t="s">
        <v>1112</v>
      </c>
      <c r="G30" s="13" t="s">
        <v>710</v>
      </c>
      <c r="H30" s="13" t="s">
        <v>153</v>
      </c>
      <c r="I30" s="13">
        <v>10</v>
      </c>
      <c r="J30" s="13">
        <v>0</v>
      </c>
      <c r="K30" s="8"/>
      <c r="L30" s="8" t="s">
        <v>756</v>
      </c>
    </row>
    <row r="31" spans="1:12" ht="15" customHeight="1" x14ac:dyDescent="0.15">
      <c r="A31" s="15" t="s">
        <v>764</v>
      </c>
      <c r="B31" s="15" t="s">
        <v>763</v>
      </c>
      <c r="C31" s="13" t="s">
        <v>716</v>
      </c>
      <c r="D31" s="13">
        <v>23</v>
      </c>
      <c r="E31" s="8" t="s">
        <v>47</v>
      </c>
      <c r="F31" s="8" t="s">
        <v>765</v>
      </c>
      <c r="G31" s="13" t="s">
        <v>713</v>
      </c>
      <c r="H31" s="13" t="s">
        <v>150</v>
      </c>
      <c r="I31" s="13">
        <v>10</v>
      </c>
      <c r="J31" s="13">
        <v>0</v>
      </c>
      <c r="K31" s="8"/>
      <c r="L31" s="8" t="s">
        <v>756</v>
      </c>
    </row>
    <row r="32" spans="1:12" ht="15" customHeight="1" x14ac:dyDescent="0.15">
      <c r="A32" s="15" t="s">
        <v>766</v>
      </c>
      <c r="B32" s="15" t="s">
        <v>767</v>
      </c>
      <c r="C32" s="13" t="s">
        <v>716</v>
      </c>
      <c r="D32" s="13">
        <v>28</v>
      </c>
      <c r="E32" s="8" t="s">
        <v>47</v>
      </c>
      <c r="F32" s="8" t="s">
        <v>55</v>
      </c>
      <c r="G32" s="13" t="s">
        <v>710</v>
      </c>
      <c r="H32" s="13" t="s">
        <v>153</v>
      </c>
      <c r="I32" s="13">
        <v>17</v>
      </c>
      <c r="J32" s="13">
        <v>0</v>
      </c>
      <c r="K32" s="8"/>
      <c r="L32" s="8" t="s">
        <v>756</v>
      </c>
    </row>
    <row r="33" spans="1:12" ht="24" customHeight="1" x14ac:dyDescent="0.15">
      <c r="A33" s="15" t="s">
        <v>768</v>
      </c>
      <c r="B33" s="15" t="s">
        <v>767</v>
      </c>
      <c r="C33" s="13" t="s">
        <v>716</v>
      </c>
      <c r="D33" s="13">
        <v>28</v>
      </c>
      <c r="E33" s="8" t="s">
        <v>47</v>
      </c>
      <c r="F33" s="8" t="s">
        <v>180</v>
      </c>
      <c r="G33" s="13" t="s">
        <v>713</v>
      </c>
      <c r="H33" s="13" t="s">
        <v>150</v>
      </c>
      <c r="I33" s="13">
        <v>17</v>
      </c>
      <c r="J33" s="13">
        <v>0</v>
      </c>
      <c r="K33" s="8"/>
      <c r="L33" s="8" t="s">
        <v>756</v>
      </c>
    </row>
    <row r="34" spans="1:12" ht="24" customHeight="1" x14ac:dyDescent="0.15">
      <c r="A34" s="15" t="s">
        <v>769</v>
      </c>
      <c r="B34" s="15" t="s">
        <v>770</v>
      </c>
      <c r="C34" s="13" t="s">
        <v>709</v>
      </c>
      <c r="D34" s="13">
        <v>32</v>
      </c>
      <c r="E34" s="8" t="s">
        <v>771</v>
      </c>
      <c r="F34" s="8" t="s">
        <v>278</v>
      </c>
      <c r="G34" s="13" t="s">
        <v>710</v>
      </c>
      <c r="H34" s="13" t="s">
        <v>162</v>
      </c>
      <c r="I34" s="13">
        <v>15</v>
      </c>
      <c r="J34" s="13">
        <v>0</v>
      </c>
      <c r="K34" s="8" t="s">
        <v>270</v>
      </c>
      <c r="L34" s="8" t="s">
        <v>756</v>
      </c>
    </row>
    <row r="35" spans="1:12" ht="24" customHeight="1" x14ac:dyDescent="0.15">
      <c r="A35" s="15" t="s">
        <v>772</v>
      </c>
      <c r="B35" s="15" t="s">
        <v>770</v>
      </c>
      <c r="C35" s="13" t="s">
        <v>709</v>
      </c>
      <c r="D35" s="13">
        <v>32</v>
      </c>
      <c r="E35" s="8" t="s">
        <v>771</v>
      </c>
      <c r="F35" s="8" t="s">
        <v>279</v>
      </c>
      <c r="G35" s="13" t="s">
        <v>713</v>
      </c>
      <c r="H35" s="13" t="s">
        <v>164</v>
      </c>
      <c r="I35" s="13">
        <v>15</v>
      </c>
      <c r="J35" s="13">
        <v>0</v>
      </c>
      <c r="K35" s="8" t="s">
        <v>270</v>
      </c>
      <c r="L35" s="8" t="s">
        <v>756</v>
      </c>
    </row>
    <row r="36" spans="1:12" ht="24" customHeight="1" x14ac:dyDescent="0.15">
      <c r="A36" s="15" t="s">
        <v>773</v>
      </c>
      <c r="B36" s="15" t="s">
        <v>774</v>
      </c>
      <c r="C36" s="13" t="s">
        <v>709</v>
      </c>
      <c r="D36" s="13">
        <v>33</v>
      </c>
      <c r="E36" s="8" t="s">
        <v>771</v>
      </c>
      <c r="F36" s="8" t="s">
        <v>282</v>
      </c>
      <c r="G36" s="13" t="s">
        <v>710</v>
      </c>
      <c r="H36" s="13" t="s">
        <v>162</v>
      </c>
      <c r="I36" s="13">
        <v>12</v>
      </c>
      <c r="J36" s="13">
        <v>0</v>
      </c>
      <c r="K36" s="8" t="s">
        <v>270</v>
      </c>
      <c r="L36" s="8" t="s">
        <v>756</v>
      </c>
    </row>
    <row r="37" spans="1:12" ht="24" customHeight="1" x14ac:dyDescent="0.15">
      <c r="A37" s="15" t="s">
        <v>775</v>
      </c>
      <c r="B37" s="15" t="s">
        <v>774</v>
      </c>
      <c r="C37" s="13" t="s">
        <v>709</v>
      </c>
      <c r="D37" s="13">
        <v>33</v>
      </c>
      <c r="E37" s="8" t="s">
        <v>771</v>
      </c>
      <c r="F37" s="8" t="s">
        <v>283</v>
      </c>
      <c r="G37" s="13" t="s">
        <v>713</v>
      </c>
      <c r="H37" s="13" t="s">
        <v>164</v>
      </c>
      <c r="I37" s="13">
        <v>12</v>
      </c>
      <c r="J37" s="13">
        <v>0</v>
      </c>
      <c r="K37" s="8" t="s">
        <v>270</v>
      </c>
      <c r="L37" s="8" t="s">
        <v>756</v>
      </c>
    </row>
    <row r="38" spans="1:12" ht="15" customHeight="1" x14ac:dyDescent="0.15">
      <c r="A38" s="15" t="s">
        <v>776</v>
      </c>
      <c r="B38" s="15" t="s">
        <v>777</v>
      </c>
      <c r="C38" s="13" t="s">
        <v>716</v>
      </c>
      <c r="D38" s="13">
        <v>74</v>
      </c>
      <c r="E38" s="8" t="s">
        <v>771</v>
      </c>
      <c r="F38" s="8" t="s">
        <v>110</v>
      </c>
      <c r="G38" s="13" t="s">
        <v>710</v>
      </c>
      <c r="H38" s="13" t="s">
        <v>153</v>
      </c>
      <c r="I38" s="13">
        <v>15</v>
      </c>
      <c r="J38" s="13">
        <v>0</v>
      </c>
      <c r="K38" s="8"/>
      <c r="L38" s="8" t="s">
        <v>756</v>
      </c>
    </row>
    <row r="39" spans="1:12" ht="15" customHeight="1" x14ac:dyDescent="0.15">
      <c r="A39" s="15" t="s">
        <v>778</v>
      </c>
      <c r="B39" s="15" t="s">
        <v>777</v>
      </c>
      <c r="C39" s="13" t="s">
        <v>716</v>
      </c>
      <c r="D39" s="13">
        <v>74</v>
      </c>
      <c r="E39" s="8" t="s">
        <v>771</v>
      </c>
      <c r="F39" s="8" t="s">
        <v>197</v>
      </c>
      <c r="G39" s="13" t="s">
        <v>713</v>
      </c>
      <c r="H39" s="13" t="s">
        <v>150</v>
      </c>
      <c r="I39" s="13">
        <v>15</v>
      </c>
      <c r="J39" s="13">
        <v>0</v>
      </c>
      <c r="K39" s="8"/>
      <c r="L39" s="8" t="s">
        <v>756</v>
      </c>
    </row>
    <row r="40" spans="1:12" ht="24" customHeight="1" x14ac:dyDescent="0.15">
      <c r="A40" s="15" t="s">
        <v>779</v>
      </c>
      <c r="B40" s="15" t="s">
        <v>780</v>
      </c>
      <c r="C40" s="13" t="s">
        <v>716</v>
      </c>
      <c r="D40" s="13">
        <v>83</v>
      </c>
      <c r="E40" s="8" t="s">
        <v>771</v>
      </c>
      <c r="F40" s="8" t="s">
        <v>781</v>
      </c>
      <c r="G40" s="13" t="s">
        <v>710</v>
      </c>
      <c r="H40" s="13" t="s">
        <v>153</v>
      </c>
      <c r="I40" s="13">
        <v>21</v>
      </c>
      <c r="J40" s="13">
        <v>0</v>
      </c>
      <c r="K40" s="8"/>
      <c r="L40" s="8" t="s">
        <v>756</v>
      </c>
    </row>
    <row r="41" spans="1:12" ht="24" customHeight="1" x14ac:dyDescent="0.15">
      <c r="A41" s="15" t="s">
        <v>782</v>
      </c>
      <c r="B41" s="15" t="s">
        <v>780</v>
      </c>
      <c r="C41" s="13" t="s">
        <v>716</v>
      </c>
      <c r="D41" s="13">
        <v>83</v>
      </c>
      <c r="E41" s="8" t="s">
        <v>771</v>
      </c>
      <c r="F41" s="8" t="s">
        <v>199</v>
      </c>
      <c r="G41" s="13" t="s">
        <v>713</v>
      </c>
      <c r="H41" s="13" t="s">
        <v>150</v>
      </c>
      <c r="I41" s="13">
        <v>21</v>
      </c>
      <c r="J41" s="13">
        <v>0</v>
      </c>
      <c r="K41" s="8"/>
      <c r="L41" s="8" t="s">
        <v>756</v>
      </c>
    </row>
    <row r="42" spans="1:12" ht="15" customHeight="1" x14ac:dyDescent="0.15">
      <c r="A42" s="15" t="s">
        <v>783</v>
      </c>
      <c r="B42" s="15" t="s">
        <v>784</v>
      </c>
      <c r="C42" s="13" t="s">
        <v>709</v>
      </c>
      <c r="D42" s="13">
        <v>129</v>
      </c>
      <c r="E42" s="8" t="s">
        <v>785</v>
      </c>
      <c r="F42" s="8" t="s">
        <v>473</v>
      </c>
      <c r="G42" s="13" t="s">
        <v>710</v>
      </c>
      <c r="H42" s="13" t="s">
        <v>153</v>
      </c>
      <c r="I42" s="13">
        <v>10</v>
      </c>
      <c r="J42" s="13">
        <v>0</v>
      </c>
      <c r="K42" s="8" t="s">
        <v>469</v>
      </c>
      <c r="L42" s="8" t="s">
        <v>786</v>
      </c>
    </row>
    <row r="43" spans="1:12" ht="15" customHeight="1" x14ac:dyDescent="0.15">
      <c r="A43" s="15" t="s">
        <v>787</v>
      </c>
      <c r="B43" s="15" t="s">
        <v>784</v>
      </c>
      <c r="C43" s="13" t="s">
        <v>709</v>
      </c>
      <c r="D43" s="13">
        <v>129</v>
      </c>
      <c r="E43" s="8" t="s">
        <v>785</v>
      </c>
      <c r="F43" s="8" t="s">
        <v>474</v>
      </c>
      <c r="G43" s="13" t="s">
        <v>713</v>
      </c>
      <c r="H43" s="13" t="s">
        <v>150</v>
      </c>
      <c r="I43" s="13">
        <v>10</v>
      </c>
      <c r="J43" s="13">
        <v>0</v>
      </c>
      <c r="K43" s="8" t="s">
        <v>469</v>
      </c>
      <c r="L43" s="8" t="s">
        <v>786</v>
      </c>
    </row>
    <row r="44" spans="1:12" ht="15" customHeight="1" x14ac:dyDescent="0.15">
      <c r="A44" s="15" t="s">
        <v>788</v>
      </c>
      <c r="B44" s="15" t="s">
        <v>789</v>
      </c>
      <c r="C44" s="13" t="s">
        <v>709</v>
      </c>
      <c r="D44" s="13">
        <v>130</v>
      </c>
      <c r="E44" s="8" t="s">
        <v>785</v>
      </c>
      <c r="F44" s="8" t="s">
        <v>478</v>
      </c>
      <c r="G44" s="13" t="s">
        <v>710</v>
      </c>
      <c r="H44" s="13" t="s">
        <v>153</v>
      </c>
      <c r="I44" s="13">
        <v>8</v>
      </c>
      <c r="J44" s="13">
        <v>0</v>
      </c>
      <c r="K44" s="8" t="s">
        <v>469</v>
      </c>
      <c r="L44" s="8" t="s">
        <v>786</v>
      </c>
    </row>
    <row r="45" spans="1:12" ht="15" customHeight="1" x14ac:dyDescent="0.15">
      <c r="A45" s="15" t="s">
        <v>790</v>
      </c>
      <c r="B45" s="15" t="s">
        <v>789</v>
      </c>
      <c r="C45" s="13" t="s">
        <v>709</v>
      </c>
      <c r="D45" s="13">
        <v>130</v>
      </c>
      <c r="E45" s="8" t="s">
        <v>785</v>
      </c>
      <c r="F45" s="8" t="s">
        <v>479</v>
      </c>
      <c r="G45" s="13" t="s">
        <v>713</v>
      </c>
      <c r="H45" s="13" t="s">
        <v>150</v>
      </c>
      <c r="I45" s="13">
        <v>8</v>
      </c>
      <c r="J45" s="13">
        <v>0</v>
      </c>
      <c r="K45" s="8" t="s">
        <v>469</v>
      </c>
      <c r="L45" s="8" t="s">
        <v>786</v>
      </c>
    </row>
    <row r="46" spans="1:12" ht="24" customHeight="1" x14ac:dyDescent="0.15">
      <c r="A46" s="15" t="s">
        <v>791</v>
      </c>
      <c r="B46" s="15" t="s">
        <v>792</v>
      </c>
      <c r="C46" s="13" t="s">
        <v>709</v>
      </c>
      <c r="D46" s="13">
        <v>134</v>
      </c>
      <c r="E46" s="8" t="s">
        <v>785</v>
      </c>
      <c r="F46" s="8" t="s">
        <v>488</v>
      </c>
      <c r="G46" s="13" t="s">
        <v>710</v>
      </c>
      <c r="H46" s="13" t="s">
        <v>162</v>
      </c>
      <c r="I46" s="13">
        <v>16</v>
      </c>
      <c r="J46" s="13">
        <v>0</v>
      </c>
      <c r="K46" s="8" t="s">
        <v>469</v>
      </c>
      <c r="L46" s="8" t="s">
        <v>786</v>
      </c>
    </row>
    <row r="47" spans="1:12" ht="24" customHeight="1" x14ac:dyDescent="0.15">
      <c r="A47" s="15" t="s">
        <v>793</v>
      </c>
      <c r="B47" s="15" t="s">
        <v>792</v>
      </c>
      <c r="C47" s="13" t="s">
        <v>709</v>
      </c>
      <c r="D47" s="13">
        <v>134</v>
      </c>
      <c r="E47" s="8" t="s">
        <v>785</v>
      </c>
      <c r="F47" s="8" t="s">
        <v>489</v>
      </c>
      <c r="G47" s="13" t="s">
        <v>713</v>
      </c>
      <c r="H47" s="13" t="s">
        <v>164</v>
      </c>
      <c r="I47" s="13">
        <v>16</v>
      </c>
      <c r="J47" s="13">
        <v>0</v>
      </c>
      <c r="K47" s="8" t="s">
        <v>469</v>
      </c>
      <c r="L47" s="8" t="s">
        <v>786</v>
      </c>
    </row>
    <row r="48" spans="1:12" ht="24" customHeight="1" x14ac:dyDescent="0.15">
      <c r="A48" s="15" t="s">
        <v>794</v>
      </c>
      <c r="B48" s="15" t="s">
        <v>795</v>
      </c>
      <c r="C48" s="13" t="s">
        <v>709</v>
      </c>
      <c r="D48" s="13">
        <v>139</v>
      </c>
      <c r="E48" s="8" t="s">
        <v>785</v>
      </c>
      <c r="F48" s="8" t="s">
        <v>500</v>
      </c>
      <c r="G48" s="13" t="s">
        <v>710</v>
      </c>
      <c r="H48" s="13" t="s">
        <v>164</v>
      </c>
      <c r="I48" s="13">
        <v>18</v>
      </c>
      <c r="J48" s="13">
        <v>0</v>
      </c>
      <c r="K48" s="8" t="s">
        <v>469</v>
      </c>
      <c r="L48" s="8" t="s">
        <v>786</v>
      </c>
    </row>
    <row r="49" spans="1:12" ht="24" customHeight="1" x14ac:dyDescent="0.15">
      <c r="A49" s="15" t="s">
        <v>796</v>
      </c>
      <c r="B49" s="15" t="s">
        <v>795</v>
      </c>
      <c r="C49" s="13" t="s">
        <v>709</v>
      </c>
      <c r="D49" s="13">
        <v>139</v>
      </c>
      <c r="E49" s="8" t="s">
        <v>785</v>
      </c>
      <c r="F49" s="8" t="s">
        <v>501</v>
      </c>
      <c r="G49" s="13" t="s">
        <v>713</v>
      </c>
      <c r="H49" s="13" t="s">
        <v>162</v>
      </c>
      <c r="I49" s="13">
        <v>18</v>
      </c>
      <c r="J49" s="13">
        <v>0</v>
      </c>
      <c r="K49" s="8" t="s">
        <v>469</v>
      </c>
      <c r="L49" s="8" t="s">
        <v>786</v>
      </c>
    </row>
    <row r="50" spans="1:12" ht="24" customHeight="1" x14ac:dyDescent="0.15">
      <c r="A50" s="15" t="s">
        <v>797</v>
      </c>
      <c r="B50" s="15" t="s">
        <v>798</v>
      </c>
      <c r="C50" s="13" t="s">
        <v>799</v>
      </c>
      <c r="D50" s="13" t="s">
        <v>800</v>
      </c>
      <c r="E50" s="8" t="s">
        <v>801</v>
      </c>
      <c r="F50" s="8" t="s">
        <v>802</v>
      </c>
      <c r="G50" s="13" t="s">
        <v>710</v>
      </c>
      <c r="H50" s="13" t="s">
        <v>153</v>
      </c>
      <c r="I50" s="13">
        <v>17</v>
      </c>
      <c r="J50" s="13">
        <v>0</v>
      </c>
      <c r="K50" s="8" t="s">
        <v>803</v>
      </c>
      <c r="L50" s="8" t="s">
        <v>804</v>
      </c>
    </row>
    <row r="51" spans="1:12" ht="24" customHeight="1" x14ac:dyDescent="0.15">
      <c r="A51" s="15" t="s">
        <v>805</v>
      </c>
      <c r="B51" s="15" t="s">
        <v>798</v>
      </c>
      <c r="C51" s="13" t="s">
        <v>799</v>
      </c>
      <c r="D51" s="13" t="s">
        <v>800</v>
      </c>
      <c r="E51" s="8" t="s">
        <v>801</v>
      </c>
      <c r="F51" s="8" t="s">
        <v>806</v>
      </c>
      <c r="G51" s="13" t="s">
        <v>713</v>
      </c>
      <c r="H51" s="13" t="s">
        <v>150</v>
      </c>
      <c r="I51" s="13">
        <v>17</v>
      </c>
      <c r="J51" s="13">
        <v>0</v>
      </c>
      <c r="K51" s="8" t="s">
        <v>803</v>
      </c>
      <c r="L51" s="8" t="s">
        <v>804</v>
      </c>
    </row>
    <row r="52" spans="1:12" ht="15" customHeight="1" x14ac:dyDescent="0.15">
      <c r="A52" s="15" t="s">
        <v>807</v>
      </c>
      <c r="B52" s="15" t="s">
        <v>808</v>
      </c>
      <c r="C52" s="13" t="s">
        <v>799</v>
      </c>
      <c r="D52" s="13" t="s">
        <v>809</v>
      </c>
      <c r="E52" s="8" t="s">
        <v>801</v>
      </c>
      <c r="F52" s="8" t="s">
        <v>810</v>
      </c>
      <c r="G52" s="13" t="s">
        <v>710</v>
      </c>
      <c r="H52" s="13" t="s">
        <v>150</v>
      </c>
      <c r="I52" s="13">
        <v>13</v>
      </c>
      <c r="J52" s="13">
        <v>0</v>
      </c>
      <c r="K52" s="8" t="s">
        <v>803</v>
      </c>
      <c r="L52" s="8" t="s">
        <v>804</v>
      </c>
    </row>
    <row r="53" spans="1:12" ht="15" customHeight="1" x14ac:dyDescent="0.15">
      <c r="A53" s="15" t="s">
        <v>811</v>
      </c>
      <c r="B53" s="15" t="s">
        <v>808</v>
      </c>
      <c r="C53" s="13" t="s">
        <v>799</v>
      </c>
      <c r="D53" s="13" t="s">
        <v>809</v>
      </c>
      <c r="E53" s="8" t="s">
        <v>801</v>
      </c>
      <c r="F53" s="8" t="s">
        <v>812</v>
      </c>
      <c r="G53" s="13" t="s">
        <v>713</v>
      </c>
      <c r="H53" s="13" t="s">
        <v>153</v>
      </c>
      <c r="I53" s="13">
        <v>13</v>
      </c>
      <c r="J53" s="13">
        <v>0</v>
      </c>
      <c r="K53" s="8" t="s">
        <v>803</v>
      </c>
      <c r="L53" s="8" t="s">
        <v>804</v>
      </c>
    </row>
    <row r="54" spans="1:12" ht="15" customHeight="1" x14ac:dyDescent="0.15">
      <c r="A54" s="15" t="s">
        <v>813</v>
      </c>
      <c r="B54" s="15" t="s">
        <v>814</v>
      </c>
      <c r="C54" s="13" t="s">
        <v>799</v>
      </c>
      <c r="D54" s="13" t="s">
        <v>815</v>
      </c>
      <c r="E54" s="8" t="s">
        <v>801</v>
      </c>
      <c r="F54" s="8" t="s">
        <v>816</v>
      </c>
      <c r="G54" s="13" t="s">
        <v>710</v>
      </c>
      <c r="H54" s="13" t="s">
        <v>162</v>
      </c>
      <c r="I54" s="13">
        <v>11</v>
      </c>
      <c r="J54" s="13">
        <v>0</v>
      </c>
      <c r="K54" s="8" t="s">
        <v>803</v>
      </c>
      <c r="L54" s="8" t="s">
        <v>804</v>
      </c>
    </row>
    <row r="55" spans="1:12" ht="15" customHeight="1" x14ac:dyDescent="0.15">
      <c r="A55" s="15" t="s">
        <v>817</v>
      </c>
      <c r="B55" s="15" t="s">
        <v>814</v>
      </c>
      <c r="C55" s="13" t="s">
        <v>799</v>
      </c>
      <c r="D55" s="13" t="s">
        <v>815</v>
      </c>
      <c r="E55" s="8" t="s">
        <v>801</v>
      </c>
      <c r="F55" s="8" t="s">
        <v>818</v>
      </c>
      <c r="G55" s="13" t="s">
        <v>713</v>
      </c>
      <c r="H55" s="13" t="s">
        <v>164</v>
      </c>
      <c r="I55" s="13">
        <v>11</v>
      </c>
      <c r="J55" s="13">
        <v>0</v>
      </c>
      <c r="K55" s="8" t="s">
        <v>803</v>
      </c>
      <c r="L55" s="8" t="s">
        <v>804</v>
      </c>
    </row>
    <row r="56" spans="1:12" ht="15" customHeight="1" x14ac:dyDescent="0.15">
      <c r="A56" s="15" t="s">
        <v>819</v>
      </c>
      <c r="B56" s="15" t="s">
        <v>820</v>
      </c>
      <c r="C56" s="13" t="s">
        <v>799</v>
      </c>
      <c r="D56" s="13" t="s">
        <v>821</v>
      </c>
      <c r="E56" s="8" t="s">
        <v>801</v>
      </c>
      <c r="F56" s="8" t="s">
        <v>822</v>
      </c>
      <c r="G56" s="13" t="s">
        <v>710</v>
      </c>
      <c r="H56" s="13" t="s">
        <v>162</v>
      </c>
      <c r="I56" s="13">
        <v>12</v>
      </c>
      <c r="J56" s="13">
        <v>0</v>
      </c>
      <c r="K56" s="8" t="s">
        <v>803</v>
      </c>
      <c r="L56" s="8" t="s">
        <v>804</v>
      </c>
    </row>
    <row r="57" spans="1:12" ht="15" customHeight="1" x14ac:dyDescent="0.15">
      <c r="A57" s="15" t="s">
        <v>823</v>
      </c>
      <c r="B57" s="15" t="s">
        <v>820</v>
      </c>
      <c r="C57" s="13" t="s">
        <v>799</v>
      </c>
      <c r="D57" s="13" t="s">
        <v>821</v>
      </c>
      <c r="E57" s="8" t="s">
        <v>801</v>
      </c>
      <c r="F57" s="8" t="s">
        <v>824</v>
      </c>
      <c r="G57" s="13" t="s">
        <v>713</v>
      </c>
      <c r="H57" s="13" t="s">
        <v>164</v>
      </c>
      <c r="I57" s="13">
        <v>12</v>
      </c>
      <c r="J57" s="13">
        <v>0</v>
      </c>
      <c r="K57" s="8" t="s">
        <v>803</v>
      </c>
      <c r="L57" s="8" t="s">
        <v>804</v>
      </c>
    </row>
    <row r="58" spans="1:12" ht="15" customHeight="1" x14ac:dyDescent="0.15">
      <c r="A58" s="15" t="s">
        <v>825</v>
      </c>
      <c r="B58" s="15" t="s">
        <v>826</v>
      </c>
      <c r="C58" s="13" t="s">
        <v>827</v>
      </c>
      <c r="D58" s="13" t="s">
        <v>800</v>
      </c>
      <c r="E58" s="8" t="s">
        <v>828</v>
      </c>
      <c r="F58" s="8" t="s">
        <v>829</v>
      </c>
      <c r="G58" s="13" t="s">
        <v>710</v>
      </c>
      <c r="H58" s="13" t="s">
        <v>162</v>
      </c>
      <c r="I58" s="13">
        <v>4</v>
      </c>
      <c r="J58" s="13">
        <v>0</v>
      </c>
      <c r="K58" s="8"/>
      <c r="L58" s="8" t="s">
        <v>830</v>
      </c>
    </row>
    <row r="59" spans="1:12" ht="15" customHeight="1" x14ac:dyDescent="0.15">
      <c r="A59" s="15" t="s">
        <v>831</v>
      </c>
      <c r="B59" s="15" t="s">
        <v>826</v>
      </c>
      <c r="C59" s="13" t="s">
        <v>827</v>
      </c>
      <c r="D59" s="13" t="s">
        <v>800</v>
      </c>
      <c r="E59" s="8" t="s">
        <v>828</v>
      </c>
      <c r="F59" s="8" t="s">
        <v>832</v>
      </c>
      <c r="G59" s="13" t="s">
        <v>713</v>
      </c>
      <c r="H59" s="13" t="s">
        <v>164</v>
      </c>
      <c r="I59" s="13">
        <v>4</v>
      </c>
      <c r="J59" s="13">
        <v>0</v>
      </c>
      <c r="K59" s="8"/>
      <c r="L59" s="8" t="s">
        <v>830</v>
      </c>
    </row>
    <row r="60" spans="1:12" ht="15" customHeight="1" x14ac:dyDescent="0.15">
      <c r="A60" s="15" t="s">
        <v>833</v>
      </c>
      <c r="B60" s="15" t="s">
        <v>834</v>
      </c>
      <c r="C60" s="13" t="s">
        <v>827</v>
      </c>
      <c r="D60" s="13" t="s">
        <v>835</v>
      </c>
      <c r="E60" s="8" t="s">
        <v>828</v>
      </c>
      <c r="F60" s="8" t="s">
        <v>836</v>
      </c>
      <c r="G60" s="13" t="s">
        <v>710</v>
      </c>
      <c r="H60" s="13" t="s">
        <v>164</v>
      </c>
      <c r="I60" s="13">
        <v>9</v>
      </c>
      <c r="J60" s="13">
        <v>0</v>
      </c>
      <c r="K60" s="8"/>
      <c r="L60" s="8" t="s">
        <v>830</v>
      </c>
    </row>
    <row r="61" spans="1:12" ht="15" customHeight="1" x14ac:dyDescent="0.15">
      <c r="A61" s="15" t="s">
        <v>837</v>
      </c>
      <c r="B61" s="15" t="s">
        <v>834</v>
      </c>
      <c r="C61" s="13" t="s">
        <v>827</v>
      </c>
      <c r="D61" s="13" t="s">
        <v>835</v>
      </c>
      <c r="E61" s="8" t="s">
        <v>828</v>
      </c>
      <c r="F61" s="8" t="s">
        <v>838</v>
      </c>
      <c r="G61" s="13" t="s">
        <v>713</v>
      </c>
      <c r="H61" s="13" t="s">
        <v>162</v>
      </c>
      <c r="I61" s="13">
        <v>9</v>
      </c>
      <c r="J61" s="13">
        <v>0</v>
      </c>
      <c r="K61" s="8"/>
      <c r="L61" s="8" t="s">
        <v>830</v>
      </c>
    </row>
    <row r="62" spans="1:12" ht="15" customHeight="1" x14ac:dyDescent="0.15">
      <c r="A62" s="15" t="s">
        <v>839</v>
      </c>
      <c r="B62" s="15" t="s">
        <v>840</v>
      </c>
      <c r="C62" s="13" t="s">
        <v>827</v>
      </c>
      <c r="D62" s="13" t="s">
        <v>821</v>
      </c>
      <c r="E62" s="8" t="s">
        <v>828</v>
      </c>
      <c r="F62" s="8" t="s">
        <v>841</v>
      </c>
      <c r="G62" s="13" t="s">
        <v>710</v>
      </c>
      <c r="H62" s="13" t="s">
        <v>153</v>
      </c>
      <c r="I62" s="13">
        <v>5</v>
      </c>
      <c r="J62" s="13">
        <v>0</v>
      </c>
      <c r="K62" s="8"/>
      <c r="L62" s="8" t="s">
        <v>830</v>
      </c>
    </row>
    <row r="63" spans="1:12" ht="15" customHeight="1" x14ac:dyDescent="0.15">
      <c r="A63" s="15" t="s">
        <v>842</v>
      </c>
      <c r="B63" s="15" t="s">
        <v>840</v>
      </c>
      <c r="C63" s="13" t="s">
        <v>827</v>
      </c>
      <c r="D63" s="13" t="s">
        <v>821</v>
      </c>
      <c r="E63" s="8" t="s">
        <v>828</v>
      </c>
      <c r="F63" s="8" t="s">
        <v>843</v>
      </c>
      <c r="G63" s="13" t="s">
        <v>713</v>
      </c>
      <c r="H63" s="13" t="s">
        <v>150</v>
      </c>
      <c r="I63" s="13">
        <v>5</v>
      </c>
      <c r="J63" s="13">
        <v>0</v>
      </c>
      <c r="K63" s="8"/>
      <c r="L63" s="8" t="s">
        <v>830</v>
      </c>
    </row>
    <row r="64" spans="1:12" ht="15" customHeight="1" x14ac:dyDescent="0.15">
      <c r="A64" s="15" t="s">
        <v>844</v>
      </c>
      <c r="B64" s="15" t="s">
        <v>845</v>
      </c>
      <c r="C64" s="13" t="s">
        <v>827</v>
      </c>
      <c r="D64" s="13" t="s">
        <v>846</v>
      </c>
      <c r="E64" s="8" t="s">
        <v>828</v>
      </c>
      <c r="F64" s="8" t="s">
        <v>847</v>
      </c>
      <c r="G64" s="13" t="s">
        <v>710</v>
      </c>
      <c r="H64" s="13" t="s">
        <v>153</v>
      </c>
      <c r="I64" s="13">
        <v>7</v>
      </c>
      <c r="J64" s="13">
        <v>1</v>
      </c>
      <c r="K64" s="8"/>
      <c r="L64" s="8" t="s">
        <v>830</v>
      </c>
    </row>
    <row r="65" spans="1:12" ht="15" customHeight="1" x14ac:dyDescent="0.15">
      <c r="A65" s="15" t="s">
        <v>848</v>
      </c>
      <c r="B65" s="15" t="s">
        <v>845</v>
      </c>
      <c r="C65" s="13" t="s">
        <v>827</v>
      </c>
      <c r="D65" s="13" t="s">
        <v>846</v>
      </c>
      <c r="E65" s="8" t="s">
        <v>828</v>
      </c>
      <c r="F65" s="8" t="s">
        <v>849</v>
      </c>
      <c r="G65" s="13" t="s">
        <v>713</v>
      </c>
      <c r="H65" s="13" t="s">
        <v>150</v>
      </c>
      <c r="I65" s="13">
        <v>8</v>
      </c>
      <c r="J65" s="13">
        <v>1</v>
      </c>
      <c r="K65" s="8"/>
      <c r="L65" s="8" t="s">
        <v>830</v>
      </c>
    </row>
    <row r="66" spans="1:12" ht="24" customHeight="1" x14ac:dyDescent="0.15">
      <c r="A66" s="15" t="s">
        <v>850</v>
      </c>
      <c r="B66" s="15" t="s">
        <v>851</v>
      </c>
      <c r="C66" s="13" t="s">
        <v>852</v>
      </c>
      <c r="D66" s="13" t="s">
        <v>800</v>
      </c>
      <c r="E66" s="8" t="s">
        <v>853</v>
      </c>
      <c r="F66" s="31" t="s">
        <v>1111</v>
      </c>
      <c r="G66" s="13" t="s">
        <v>710</v>
      </c>
      <c r="H66" s="13" t="s">
        <v>164</v>
      </c>
      <c r="I66" s="13">
        <v>22</v>
      </c>
      <c r="J66" s="13">
        <v>0</v>
      </c>
      <c r="K66" s="8" t="s">
        <v>855</v>
      </c>
      <c r="L66" s="8" t="s">
        <v>856</v>
      </c>
    </row>
    <row r="67" spans="1:12" ht="24" customHeight="1" x14ac:dyDescent="0.15">
      <c r="A67" s="15" t="s">
        <v>857</v>
      </c>
      <c r="B67" s="15" t="s">
        <v>851</v>
      </c>
      <c r="C67" s="13" t="s">
        <v>852</v>
      </c>
      <c r="D67" s="13" t="s">
        <v>800</v>
      </c>
      <c r="E67" s="8" t="s">
        <v>853</v>
      </c>
      <c r="F67" s="31" t="s">
        <v>1096</v>
      </c>
      <c r="G67" s="13" t="s">
        <v>713</v>
      </c>
      <c r="H67" s="13" t="s">
        <v>162</v>
      </c>
      <c r="I67" s="13">
        <v>22</v>
      </c>
      <c r="J67" s="13">
        <v>0</v>
      </c>
      <c r="K67" s="8" t="s">
        <v>855</v>
      </c>
      <c r="L67" s="8" t="s">
        <v>856</v>
      </c>
    </row>
    <row r="68" spans="1:12" ht="15" customHeight="1" x14ac:dyDescent="0.15">
      <c r="A68" s="15" t="s">
        <v>859</v>
      </c>
      <c r="B68" s="15" t="s">
        <v>860</v>
      </c>
      <c r="C68" s="13" t="s">
        <v>852</v>
      </c>
      <c r="D68" s="13" t="s">
        <v>809</v>
      </c>
      <c r="E68" s="8" t="s">
        <v>853</v>
      </c>
      <c r="F68" s="8" t="s">
        <v>861</v>
      </c>
      <c r="G68" s="13" t="s">
        <v>710</v>
      </c>
      <c r="H68" s="13" t="s">
        <v>164</v>
      </c>
      <c r="I68" s="13">
        <v>15</v>
      </c>
      <c r="J68" s="13">
        <v>0</v>
      </c>
      <c r="K68" s="8" t="s">
        <v>855</v>
      </c>
      <c r="L68" s="8" t="s">
        <v>856</v>
      </c>
    </row>
    <row r="69" spans="1:12" ht="15" customHeight="1" x14ac:dyDescent="0.15">
      <c r="A69" s="15" t="s">
        <v>862</v>
      </c>
      <c r="B69" s="15" t="s">
        <v>860</v>
      </c>
      <c r="C69" s="13" t="s">
        <v>852</v>
      </c>
      <c r="D69" s="13" t="s">
        <v>809</v>
      </c>
      <c r="E69" s="8" t="s">
        <v>853</v>
      </c>
      <c r="F69" s="8" t="s">
        <v>863</v>
      </c>
      <c r="G69" s="13" t="s">
        <v>713</v>
      </c>
      <c r="H69" s="13" t="s">
        <v>162</v>
      </c>
      <c r="I69" s="13">
        <v>15</v>
      </c>
      <c r="J69" s="13">
        <v>0</v>
      </c>
      <c r="K69" s="8" t="s">
        <v>855</v>
      </c>
      <c r="L69" s="8" t="s">
        <v>856</v>
      </c>
    </row>
    <row r="70" spans="1:12" ht="15" customHeight="1" x14ac:dyDescent="0.15">
      <c r="A70" s="15" t="s">
        <v>864</v>
      </c>
      <c r="B70" s="15" t="s">
        <v>865</v>
      </c>
      <c r="C70" s="13" t="s">
        <v>852</v>
      </c>
      <c r="D70" s="13" t="s">
        <v>815</v>
      </c>
      <c r="E70" s="8" t="s">
        <v>853</v>
      </c>
      <c r="F70" s="8" t="s">
        <v>866</v>
      </c>
      <c r="G70" s="13" t="s">
        <v>710</v>
      </c>
      <c r="H70" s="13" t="s">
        <v>153</v>
      </c>
      <c r="I70" s="13">
        <v>11</v>
      </c>
      <c r="J70" s="13">
        <v>0</v>
      </c>
      <c r="K70" s="8" t="s">
        <v>855</v>
      </c>
      <c r="L70" s="8" t="s">
        <v>856</v>
      </c>
    </row>
    <row r="71" spans="1:12" ht="15" customHeight="1" x14ac:dyDescent="0.15">
      <c r="A71" s="15" t="s">
        <v>867</v>
      </c>
      <c r="B71" s="15" t="s">
        <v>865</v>
      </c>
      <c r="C71" s="13" t="s">
        <v>852</v>
      </c>
      <c r="D71" s="13" t="s">
        <v>815</v>
      </c>
      <c r="E71" s="8" t="s">
        <v>853</v>
      </c>
      <c r="F71" s="8" t="s">
        <v>868</v>
      </c>
      <c r="G71" s="13" t="s">
        <v>713</v>
      </c>
      <c r="H71" s="13" t="s">
        <v>150</v>
      </c>
      <c r="I71" s="13">
        <v>11</v>
      </c>
      <c r="J71" s="13">
        <v>0</v>
      </c>
      <c r="K71" s="8" t="s">
        <v>855</v>
      </c>
      <c r="L71" s="8" t="s">
        <v>856</v>
      </c>
    </row>
    <row r="72" spans="1:12" ht="15" customHeight="1" x14ac:dyDescent="0.15">
      <c r="A72" s="15" t="s">
        <v>869</v>
      </c>
      <c r="B72" s="15" t="s">
        <v>870</v>
      </c>
      <c r="C72" s="13" t="s">
        <v>852</v>
      </c>
      <c r="D72" s="13" t="s">
        <v>821</v>
      </c>
      <c r="E72" s="8" t="s">
        <v>853</v>
      </c>
      <c r="F72" s="8" t="s">
        <v>871</v>
      </c>
      <c r="G72" s="13" t="s">
        <v>710</v>
      </c>
      <c r="H72" s="13" t="s">
        <v>153</v>
      </c>
      <c r="I72" s="13">
        <v>13</v>
      </c>
      <c r="J72" s="13">
        <v>0</v>
      </c>
      <c r="K72" s="8" t="s">
        <v>855</v>
      </c>
      <c r="L72" s="8" t="s">
        <v>856</v>
      </c>
    </row>
    <row r="73" spans="1:12" ht="15" customHeight="1" x14ac:dyDescent="0.15">
      <c r="A73" s="15" t="s">
        <v>872</v>
      </c>
      <c r="B73" s="15" t="s">
        <v>870</v>
      </c>
      <c r="C73" s="13" t="s">
        <v>852</v>
      </c>
      <c r="D73" s="13" t="s">
        <v>821</v>
      </c>
      <c r="E73" s="8" t="s">
        <v>853</v>
      </c>
      <c r="F73" s="8" t="s">
        <v>873</v>
      </c>
      <c r="G73" s="13" t="s">
        <v>713</v>
      </c>
      <c r="H73" s="13" t="s">
        <v>150</v>
      </c>
      <c r="I73" s="13">
        <v>13</v>
      </c>
      <c r="J73" s="13">
        <v>0</v>
      </c>
      <c r="K73" s="8" t="s">
        <v>855</v>
      </c>
      <c r="L73" s="8" t="s">
        <v>856</v>
      </c>
    </row>
    <row r="74" spans="1:12" ht="24" customHeight="1" x14ac:dyDescent="0.15">
      <c r="A74" s="15" t="s">
        <v>874</v>
      </c>
      <c r="B74" s="15" t="s">
        <v>875</v>
      </c>
      <c r="C74" s="13" t="s">
        <v>876</v>
      </c>
      <c r="D74" s="13" t="s">
        <v>800</v>
      </c>
      <c r="E74" s="8" t="s">
        <v>877</v>
      </c>
      <c r="F74" s="8" t="s">
        <v>878</v>
      </c>
      <c r="G74" s="13" t="s">
        <v>710</v>
      </c>
      <c r="H74" s="13" t="s">
        <v>153</v>
      </c>
      <c r="I74" s="13">
        <v>16</v>
      </c>
      <c r="J74" s="13">
        <v>0</v>
      </c>
      <c r="K74" s="8"/>
      <c r="L74" s="8" t="s">
        <v>879</v>
      </c>
    </row>
    <row r="75" spans="1:12" ht="24" customHeight="1" x14ac:dyDescent="0.15">
      <c r="A75" s="15" t="s">
        <v>880</v>
      </c>
      <c r="B75" s="15" t="s">
        <v>875</v>
      </c>
      <c r="C75" s="13" t="s">
        <v>876</v>
      </c>
      <c r="D75" s="13" t="s">
        <v>800</v>
      </c>
      <c r="E75" s="8" t="s">
        <v>877</v>
      </c>
      <c r="F75" s="8" t="s">
        <v>881</v>
      </c>
      <c r="G75" s="13" t="s">
        <v>713</v>
      </c>
      <c r="H75" s="13" t="s">
        <v>150</v>
      </c>
      <c r="I75" s="13">
        <v>16</v>
      </c>
      <c r="J75" s="13">
        <v>0</v>
      </c>
      <c r="K75" s="8"/>
      <c r="L75" s="8" t="s">
        <v>879</v>
      </c>
    </row>
    <row r="76" spans="1:12" ht="24" customHeight="1" x14ac:dyDescent="0.15">
      <c r="A76" s="15" t="s">
        <v>882</v>
      </c>
      <c r="B76" s="15" t="s">
        <v>883</v>
      </c>
      <c r="C76" s="13" t="s">
        <v>876</v>
      </c>
      <c r="D76" s="13" t="s">
        <v>809</v>
      </c>
      <c r="E76" s="8" t="s">
        <v>877</v>
      </c>
      <c r="F76" s="8" t="s">
        <v>884</v>
      </c>
      <c r="G76" s="13" t="s">
        <v>710</v>
      </c>
      <c r="H76" s="13" t="s">
        <v>150</v>
      </c>
      <c r="I76" s="13">
        <v>7</v>
      </c>
      <c r="J76" s="13">
        <v>1</v>
      </c>
      <c r="K76" s="8"/>
      <c r="L76" s="8" t="s">
        <v>879</v>
      </c>
    </row>
    <row r="77" spans="1:12" ht="24" customHeight="1" x14ac:dyDescent="0.15">
      <c r="A77" s="15" t="s">
        <v>885</v>
      </c>
      <c r="B77" s="15" t="s">
        <v>883</v>
      </c>
      <c r="C77" s="13" t="s">
        <v>876</v>
      </c>
      <c r="D77" s="13" t="s">
        <v>809</v>
      </c>
      <c r="E77" s="8" t="s">
        <v>877</v>
      </c>
      <c r="F77" s="8" t="s">
        <v>886</v>
      </c>
      <c r="G77" s="13" t="s">
        <v>713</v>
      </c>
      <c r="H77" s="13" t="s">
        <v>153</v>
      </c>
      <c r="I77" s="13">
        <v>8</v>
      </c>
      <c r="J77" s="13">
        <v>1</v>
      </c>
      <c r="K77" s="8"/>
      <c r="L77" s="8" t="s">
        <v>879</v>
      </c>
    </row>
    <row r="78" spans="1:12" ht="24" customHeight="1" x14ac:dyDescent="0.15">
      <c r="A78" s="15" t="s">
        <v>887</v>
      </c>
      <c r="B78" s="15" t="s">
        <v>888</v>
      </c>
      <c r="C78" s="13" t="s">
        <v>876</v>
      </c>
      <c r="D78" s="13" t="s">
        <v>846</v>
      </c>
      <c r="E78" s="8" t="s">
        <v>877</v>
      </c>
      <c r="F78" s="8" t="s">
        <v>889</v>
      </c>
      <c r="G78" s="13" t="s">
        <v>710</v>
      </c>
      <c r="H78" s="13" t="s">
        <v>162</v>
      </c>
      <c r="I78" s="13">
        <v>14</v>
      </c>
      <c r="J78" s="13">
        <v>0</v>
      </c>
      <c r="K78" s="8"/>
      <c r="L78" s="8" t="s">
        <v>879</v>
      </c>
    </row>
    <row r="79" spans="1:12" ht="24" customHeight="1" x14ac:dyDescent="0.15">
      <c r="A79" s="15" t="s">
        <v>890</v>
      </c>
      <c r="B79" s="15" t="s">
        <v>888</v>
      </c>
      <c r="C79" s="13" t="s">
        <v>876</v>
      </c>
      <c r="D79" s="13" t="s">
        <v>846</v>
      </c>
      <c r="E79" s="8" t="s">
        <v>877</v>
      </c>
      <c r="F79" s="8" t="s">
        <v>891</v>
      </c>
      <c r="G79" s="13" t="s">
        <v>713</v>
      </c>
      <c r="H79" s="13" t="s">
        <v>164</v>
      </c>
      <c r="I79" s="13">
        <v>14</v>
      </c>
      <c r="J79" s="13">
        <v>0</v>
      </c>
      <c r="K79" s="8"/>
      <c r="L79" s="8" t="s">
        <v>879</v>
      </c>
    </row>
    <row r="80" spans="1:12" ht="24" customHeight="1" x14ac:dyDescent="0.15">
      <c r="A80" s="15" t="s">
        <v>892</v>
      </c>
      <c r="B80" s="15" t="s">
        <v>893</v>
      </c>
      <c r="C80" s="13" t="s">
        <v>876</v>
      </c>
      <c r="D80" s="13" t="s">
        <v>894</v>
      </c>
      <c r="E80" s="8" t="s">
        <v>877</v>
      </c>
      <c r="F80" s="8" t="s">
        <v>895</v>
      </c>
      <c r="G80" s="13" t="s">
        <v>710</v>
      </c>
      <c r="H80" s="13" t="s">
        <v>164</v>
      </c>
      <c r="I80" s="13">
        <v>16</v>
      </c>
      <c r="J80" s="13">
        <v>0</v>
      </c>
      <c r="K80" s="8"/>
      <c r="L80" s="8" t="s">
        <v>879</v>
      </c>
    </row>
    <row r="81" spans="1:12" ht="24" customHeight="1" x14ac:dyDescent="0.15">
      <c r="A81" s="15" t="s">
        <v>896</v>
      </c>
      <c r="B81" s="15" t="s">
        <v>893</v>
      </c>
      <c r="C81" s="13" t="s">
        <v>876</v>
      </c>
      <c r="D81" s="13" t="s">
        <v>894</v>
      </c>
      <c r="E81" s="8" t="s">
        <v>877</v>
      </c>
      <c r="F81" s="8" t="s">
        <v>897</v>
      </c>
      <c r="G81" s="13" t="s">
        <v>713</v>
      </c>
      <c r="H81" s="13" t="s">
        <v>162</v>
      </c>
      <c r="I81" s="13">
        <v>16</v>
      </c>
      <c r="J81" s="13">
        <v>0</v>
      </c>
      <c r="K81" s="8"/>
      <c r="L81" s="8" t="s">
        <v>879</v>
      </c>
    </row>
    <row r="82" spans="1:12" ht="24" customHeight="1" x14ac:dyDescent="0.15">
      <c r="A82" s="15" t="s">
        <v>898</v>
      </c>
      <c r="B82" s="15" t="s">
        <v>899</v>
      </c>
      <c r="C82" s="13" t="s">
        <v>900</v>
      </c>
      <c r="D82" s="13" t="s">
        <v>800</v>
      </c>
      <c r="E82" s="8" t="s">
        <v>901</v>
      </c>
      <c r="F82" s="8" t="s">
        <v>902</v>
      </c>
      <c r="G82" s="13" t="s">
        <v>710</v>
      </c>
      <c r="H82" s="13" t="s">
        <v>153</v>
      </c>
      <c r="I82" s="13">
        <v>15</v>
      </c>
      <c r="J82" s="13">
        <v>0</v>
      </c>
      <c r="K82" s="8" t="s">
        <v>903</v>
      </c>
      <c r="L82" s="8" t="s">
        <v>904</v>
      </c>
    </row>
    <row r="83" spans="1:12" ht="24" customHeight="1" x14ac:dyDescent="0.15">
      <c r="A83" s="15" t="s">
        <v>905</v>
      </c>
      <c r="B83" s="15" t="s">
        <v>899</v>
      </c>
      <c r="C83" s="13" t="s">
        <v>900</v>
      </c>
      <c r="D83" s="13" t="s">
        <v>800</v>
      </c>
      <c r="E83" s="8" t="s">
        <v>901</v>
      </c>
      <c r="F83" s="8" t="s">
        <v>906</v>
      </c>
      <c r="G83" s="13" t="s">
        <v>713</v>
      </c>
      <c r="H83" s="13" t="s">
        <v>150</v>
      </c>
      <c r="I83" s="13">
        <v>15</v>
      </c>
      <c r="J83" s="13">
        <v>0</v>
      </c>
      <c r="K83" s="8" t="s">
        <v>903</v>
      </c>
      <c r="L83" s="8" t="s">
        <v>904</v>
      </c>
    </row>
    <row r="84" spans="1:12" ht="24" customHeight="1" x14ac:dyDescent="0.15">
      <c r="A84" s="15" t="s">
        <v>907</v>
      </c>
      <c r="B84" s="15" t="s">
        <v>908</v>
      </c>
      <c r="C84" s="13" t="s">
        <v>900</v>
      </c>
      <c r="D84" s="13" t="s">
        <v>809</v>
      </c>
      <c r="E84" s="8" t="s">
        <v>901</v>
      </c>
      <c r="F84" s="8" t="s">
        <v>909</v>
      </c>
      <c r="G84" s="13" t="s">
        <v>710</v>
      </c>
      <c r="H84" s="13" t="s">
        <v>153</v>
      </c>
      <c r="I84" s="13">
        <v>16</v>
      </c>
      <c r="J84" s="13">
        <v>0</v>
      </c>
      <c r="K84" s="8" t="s">
        <v>903</v>
      </c>
      <c r="L84" s="8" t="s">
        <v>904</v>
      </c>
    </row>
    <row r="85" spans="1:12" ht="24" customHeight="1" x14ac:dyDescent="0.15">
      <c r="A85" s="15" t="s">
        <v>910</v>
      </c>
      <c r="B85" s="15" t="s">
        <v>908</v>
      </c>
      <c r="C85" s="13" t="s">
        <v>900</v>
      </c>
      <c r="D85" s="13" t="s">
        <v>809</v>
      </c>
      <c r="E85" s="8" t="s">
        <v>901</v>
      </c>
      <c r="F85" s="8" t="s">
        <v>911</v>
      </c>
      <c r="G85" s="13" t="s">
        <v>713</v>
      </c>
      <c r="H85" s="13" t="s">
        <v>150</v>
      </c>
      <c r="I85" s="13">
        <v>16</v>
      </c>
      <c r="J85" s="13">
        <v>0</v>
      </c>
      <c r="K85" s="8" t="s">
        <v>903</v>
      </c>
      <c r="L85" s="8" t="s">
        <v>904</v>
      </c>
    </row>
    <row r="86" spans="1:12" ht="24" customHeight="1" x14ac:dyDescent="0.15">
      <c r="A86" s="15" t="s">
        <v>912</v>
      </c>
      <c r="B86" s="15" t="s">
        <v>913</v>
      </c>
      <c r="C86" s="13" t="s">
        <v>900</v>
      </c>
      <c r="D86" s="13" t="s">
        <v>821</v>
      </c>
      <c r="E86" s="8" t="s">
        <v>901</v>
      </c>
      <c r="F86" s="8" t="s">
        <v>914</v>
      </c>
      <c r="G86" s="13" t="s">
        <v>710</v>
      </c>
      <c r="H86" s="13" t="s">
        <v>162</v>
      </c>
      <c r="I86" s="13">
        <v>23</v>
      </c>
      <c r="J86" s="13">
        <v>0</v>
      </c>
      <c r="K86" s="8" t="s">
        <v>903</v>
      </c>
      <c r="L86" s="8" t="s">
        <v>904</v>
      </c>
    </row>
    <row r="87" spans="1:12" ht="24" customHeight="1" x14ac:dyDescent="0.15">
      <c r="A87" s="15" t="s">
        <v>915</v>
      </c>
      <c r="B87" s="15" t="s">
        <v>913</v>
      </c>
      <c r="C87" s="13" t="s">
        <v>900</v>
      </c>
      <c r="D87" s="13" t="s">
        <v>821</v>
      </c>
      <c r="E87" s="8" t="s">
        <v>901</v>
      </c>
      <c r="F87" s="8" t="s">
        <v>916</v>
      </c>
      <c r="G87" s="13" t="s">
        <v>713</v>
      </c>
      <c r="H87" s="13" t="s">
        <v>164</v>
      </c>
      <c r="I87" s="13">
        <v>23</v>
      </c>
      <c r="J87" s="13">
        <v>0</v>
      </c>
      <c r="K87" s="8" t="s">
        <v>903</v>
      </c>
      <c r="L87" s="8" t="s">
        <v>904</v>
      </c>
    </row>
    <row r="88" spans="1:12" ht="24" customHeight="1" x14ac:dyDescent="0.15">
      <c r="A88" s="15" t="s">
        <v>917</v>
      </c>
      <c r="B88" s="15" t="s">
        <v>918</v>
      </c>
      <c r="C88" s="13" t="s">
        <v>900</v>
      </c>
      <c r="D88" s="13" t="s">
        <v>846</v>
      </c>
      <c r="E88" s="8" t="s">
        <v>901</v>
      </c>
      <c r="F88" s="8" t="s">
        <v>919</v>
      </c>
      <c r="G88" s="13" t="s">
        <v>710</v>
      </c>
      <c r="H88" s="13" t="s">
        <v>162</v>
      </c>
      <c r="I88" s="13">
        <v>16</v>
      </c>
      <c r="J88" s="13">
        <v>0</v>
      </c>
      <c r="K88" s="8" t="s">
        <v>903</v>
      </c>
      <c r="L88" s="8" t="s">
        <v>904</v>
      </c>
    </row>
    <row r="89" spans="1:12" ht="24" customHeight="1" x14ac:dyDescent="0.15">
      <c r="A89" s="15" t="s">
        <v>920</v>
      </c>
      <c r="B89" s="15" t="s">
        <v>918</v>
      </c>
      <c r="C89" s="13" t="s">
        <v>900</v>
      </c>
      <c r="D89" s="13" t="s">
        <v>846</v>
      </c>
      <c r="E89" s="8" t="s">
        <v>901</v>
      </c>
      <c r="F89" s="8" t="s">
        <v>921</v>
      </c>
      <c r="G89" s="13" t="s">
        <v>713</v>
      </c>
      <c r="H89" s="13" t="s">
        <v>164</v>
      </c>
      <c r="I89" s="13">
        <v>16</v>
      </c>
      <c r="J89" s="13">
        <v>0</v>
      </c>
      <c r="K89" s="8" t="s">
        <v>903</v>
      </c>
      <c r="L89" s="8" t="s">
        <v>904</v>
      </c>
    </row>
    <row r="93" spans="1:12" ht="28" x14ac:dyDescent="0.15">
      <c r="A93" s="15" t="s">
        <v>1097</v>
      </c>
      <c r="B93" s="15" t="s">
        <v>1098</v>
      </c>
      <c r="C93" s="13" t="s">
        <v>716</v>
      </c>
      <c r="D93" s="13">
        <v>17</v>
      </c>
      <c r="E93" s="8" t="s">
        <v>38</v>
      </c>
      <c r="F93" s="8" t="s">
        <v>39</v>
      </c>
      <c r="G93" s="13" t="s">
        <v>710</v>
      </c>
      <c r="H93" s="13" t="s">
        <v>162</v>
      </c>
      <c r="I93" s="13">
        <v>10</v>
      </c>
      <c r="J93" s="13">
        <v>0</v>
      </c>
      <c r="K93" s="8"/>
      <c r="L93" s="8" t="s">
        <v>711</v>
      </c>
    </row>
    <row r="94" spans="1:12" ht="28" x14ac:dyDescent="0.15">
      <c r="A94" s="15" t="s">
        <v>1099</v>
      </c>
      <c r="B94" s="15" t="s">
        <v>1098</v>
      </c>
      <c r="C94" s="13" t="s">
        <v>716</v>
      </c>
      <c r="D94" s="13">
        <v>17</v>
      </c>
      <c r="E94" s="8" t="s">
        <v>38</v>
      </c>
      <c r="F94" s="8" t="s">
        <v>167</v>
      </c>
      <c r="G94" s="13" t="s">
        <v>713</v>
      </c>
      <c r="H94" s="13" t="s">
        <v>164</v>
      </c>
      <c r="I94" s="13">
        <v>10</v>
      </c>
      <c r="J94" s="13">
        <v>0</v>
      </c>
      <c r="K94" s="8"/>
      <c r="L94" s="8" t="s">
        <v>711</v>
      </c>
    </row>
    <row r="95" spans="1:12" ht="28" x14ac:dyDescent="0.15">
      <c r="A95" s="15" t="s">
        <v>1100</v>
      </c>
      <c r="B95" s="15" t="s">
        <v>1101</v>
      </c>
      <c r="C95" s="13" t="s">
        <v>716</v>
      </c>
      <c r="D95" s="13">
        <v>20</v>
      </c>
      <c r="E95" s="8" t="s">
        <v>38</v>
      </c>
      <c r="F95" s="31" t="s">
        <v>1102</v>
      </c>
      <c r="G95" s="13" t="s">
        <v>710</v>
      </c>
      <c r="H95" s="13" t="s">
        <v>153</v>
      </c>
      <c r="I95" s="13">
        <v>13</v>
      </c>
      <c r="J95" s="13">
        <v>0</v>
      </c>
      <c r="K95" s="8"/>
      <c r="L95" s="8" t="s">
        <v>726</v>
      </c>
    </row>
    <row r="96" spans="1:12" ht="28" x14ac:dyDescent="0.15">
      <c r="A96" s="15" t="s">
        <v>1103</v>
      </c>
      <c r="B96" s="15" t="s">
        <v>1101</v>
      </c>
      <c r="C96" s="13" t="s">
        <v>716</v>
      </c>
      <c r="D96" s="13">
        <v>20</v>
      </c>
      <c r="E96" s="8" t="s">
        <v>38</v>
      </c>
      <c r="F96" s="31" t="s">
        <v>1104</v>
      </c>
      <c r="G96" s="13" t="s">
        <v>713</v>
      </c>
      <c r="H96" s="13" t="s">
        <v>150</v>
      </c>
      <c r="I96" s="13">
        <v>13</v>
      </c>
      <c r="J96" s="13">
        <v>0</v>
      </c>
      <c r="K96" s="8"/>
      <c r="L96" s="8" t="s">
        <v>726</v>
      </c>
    </row>
    <row r="97" spans="1:12" ht="14" x14ac:dyDescent="0.15">
      <c r="A97" s="15" t="s">
        <v>1105</v>
      </c>
      <c r="B97" s="15" t="s">
        <v>1106</v>
      </c>
      <c r="C97" s="13" t="s">
        <v>716</v>
      </c>
      <c r="D97" s="13">
        <v>69</v>
      </c>
      <c r="E97" s="8" t="s">
        <v>38</v>
      </c>
      <c r="F97" s="8" t="s">
        <v>104</v>
      </c>
      <c r="G97" s="13" t="s">
        <v>710</v>
      </c>
      <c r="H97" s="13" t="s">
        <v>153</v>
      </c>
      <c r="I97" s="13">
        <v>17</v>
      </c>
      <c r="J97" s="13">
        <v>0</v>
      </c>
      <c r="K97" s="8"/>
      <c r="L97" s="8" t="s">
        <v>726</v>
      </c>
    </row>
    <row r="98" spans="1:12" ht="28" x14ac:dyDescent="0.15">
      <c r="A98" s="15" t="s">
        <v>1107</v>
      </c>
      <c r="B98" s="15" t="s">
        <v>1106</v>
      </c>
      <c r="C98" s="13" t="s">
        <v>716</v>
      </c>
      <c r="D98" s="13">
        <v>69</v>
      </c>
      <c r="E98" s="8" t="s">
        <v>38</v>
      </c>
      <c r="F98" s="8" t="s">
        <v>193</v>
      </c>
      <c r="G98" s="13" t="s">
        <v>713</v>
      </c>
      <c r="H98" s="13" t="s">
        <v>150</v>
      </c>
      <c r="I98" s="13">
        <v>17</v>
      </c>
      <c r="J98" s="13">
        <v>0</v>
      </c>
      <c r="K98" s="8"/>
      <c r="L98" s="8" t="s">
        <v>726</v>
      </c>
    </row>
    <row r="99" spans="1:12" ht="28" x14ac:dyDescent="0.15">
      <c r="A99" s="15" t="s">
        <v>1108</v>
      </c>
      <c r="B99" s="15" t="s">
        <v>1109</v>
      </c>
      <c r="C99" s="13" t="s">
        <v>716</v>
      </c>
      <c r="D99" s="13">
        <v>70</v>
      </c>
      <c r="E99" s="8" t="s">
        <v>38</v>
      </c>
      <c r="F99" s="8" t="s">
        <v>105</v>
      </c>
      <c r="G99" s="13" t="s">
        <v>710</v>
      </c>
      <c r="H99" s="13" t="s">
        <v>162</v>
      </c>
      <c r="I99" s="13">
        <v>11</v>
      </c>
      <c r="J99" s="13">
        <v>0</v>
      </c>
      <c r="K99" s="8"/>
      <c r="L99" s="8" t="s">
        <v>711</v>
      </c>
    </row>
    <row r="100" spans="1:12" ht="28" x14ac:dyDescent="0.15">
      <c r="A100" s="15" t="s">
        <v>1110</v>
      </c>
      <c r="B100" s="15" t="s">
        <v>1109</v>
      </c>
      <c r="C100" s="13" t="s">
        <v>716</v>
      </c>
      <c r="D100" s="13">
        <v>70</v>
      </c>
      <c r="E100" s="8" t="s">
        <v>38</v>
      </c>
      <c r="F100" s="8" t="s">
        <v>195</v>
      </c>
      <c r="G100" s="13" t="s">
        <v>713</v>
      </c>
      <c r="H100" s="13" t="s">
        <v>164</v>
      </c>
      <c r="I100" s="13">
        <v>11</v>
      </c>
      <c r="J100" s="13">
        <v>0</v>
      </c>
      <c r="K100" s="8"/>
      <c r="L100" s="8" t="s">
        <v>711</v>
      </c>
    </row>
  </sheetData>
  <conditionalFormatting sqref="H2:H81">
    <cfRule type="expression" dxfId="25" priority="7">
      <formula>$H2="Left"</formula>
    </cfRule>
    <cfRule type="expression" dxfId="24" priority="8">
      <formula>$H2="Extreme left"</formula>
    </cfRule>
    <cfRule type="expression" dxfId="23" priority="9">
      <formula>$H2="Right"</formula>
    </cfRule>
    <cfRule type="expression" dxfId="22" priority="10">
      <formula>$H2="Extreme right"</formula>
    </cfRule>
    <cfRule type="expression" dxfId="21" priority="11">
      <formula>$H2="Not clearly left/right"</formula>
    </cfRule>
    <cfRule type="expression" dxfId="20" priority="12">
      <formula>$H2="Not coded / excluded"</formula>
    </cfRule>
  </conditionalFormatting>
  <conditionalFormatting sqref="H2:H89">
    <cfRule type="containsText" dxfId="19" priority="13" operator="containsText" text="Left"/>
    <cfRule type="containsText" dxfId="18" priority="14" operator="containsText" text="Extreme left"/>
    <cfRule type="containsText" dxfId="17" priority="15" operator="containsText" text="Right"/>
    <cfRule type="containsText" dxfId="16" priority="16" operator="containsText" text="Extreme right"/>
  </conditionalFormatting>
  <conditionalFormatting sqref="H93:H100">
    <cfRule type="expression" dxfId="5" priority="1">
      <formula>$H93="Left"</formula>
    </cfRule>
    <cfRule type="expression" dxfId="4" priority="2">
      <formula>$H93="Extreme left"</formula>
    </cfRule>
    <cfRule type="expression" dxfId="3" priority="3">
      <formula>$H93="Right"</formula>
    </cfRule>
    <cfRule type="expression" dxfId="2" priority="4">
      <formula>$H93="Extreme right"</formula>
    </cfRule>
    <cfRule type="expression" dxfId="1" priority="5">
      <formula>$H93="Not clearly left/right"</formula>
    </cfRule>
    <cfRule type="expression" dxfId="0" priority="6">
      <formula>$H93="Not coded / excluded"</formula>
    </cfRule>
  </conditionalFormatting>
  <dataValidations count="2">
    <dataValidation type="list" sqref="H2:H81 H93:H100" xr:uid="{00000000-0002-0000-0200-000000000000}">
      <formula1>"Left,Extreme left,Right,Extreme right"</formula1>
    </dataValidation>
    <dataValidation type="list" sqref="H2:H89" xr:uid="{00000000-0002-0000-0200-000001000000}">
      <formula1>"Extreme left,Left,Right,Extreme right"</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showGridLines="0" workbookViewId="0"/>
  </sheetViews>
  <sheetFormatPr baseColWidth="10" defaultColWidth="8.83203125" defaultRowHeight="13" x14ac:dyDescent="0.15"/>
  <cols>
    <col min="1" max="1" width="68" customWidth="1"/>
    <col min="2" max="6" width="18" customWidth="1"/>
  </cols>
  <sheetData>
    <row r="1" spans="1:6" ht="16.75" customHeight="1" x14ac:dyDescent="0.15">
      <c r="A1" s="29" t="s">
        <v>922</v>
      </c>
      <c r="B1" s="29"/>
      <c r="C1" s="29"/>
      <c r="D1" s="29"/>
      <c r="E1" s="29"/>
      <c r="F1" s="29"/>
    </row>
    <row r="2" spans="1:6" ht="15" customHeight="1" x14ac:dyDescent="0.15">
      <c r="A2" s="8"/>
      <c r="B2" s="8"/>
      <c r="C2" s="8"/>
      <c r="D2" s="8"/>
      <c r="E2" s="8"/>
      <c r="F2" s="8"/>
    </row>
    <row r="3" spans="1:6" ht="15" customHeight="1" x14ac:dyDescent="0.15">
      <c r="A3" s="22" t="s">
        <v>923</v>
      </c>
      <c r="B3" s="23" t="s">
        <v>924</v>
      </c>
      <c r="C3" s="23" t="s">
        <v>925</v>
      </c>
      <c r="D3" s="23" t="s">
        <v>926</v>
      </c>
      <c r="E3" s="23" t="s">
        <v>927</v>
      </c>
      <c r="F3" s="24" t="s">
        <v>928</v>
      </c>
    </row>
    <row r="4" spans="1:6" ht="15" customHeight="1" x14ac:dyDescent="0.15">
      <c r="A4" s="19" t="s">
        <v>150</v>
      </c>
      <c r="B4" s="13">
        <f>COUNTIF('Selected stimuli 88'!$H$2:$H$89,A4)</f>
        <v>22</v>
      </c>
      <c r="C4" s="20">
        <f>AVERAGEIF('Selected stimuli 88'!$H$2:$H$89,A4,'Selected stimuli 88'!$I$2:$I$89)</f>
        <v>13.772727272727273</v>
      </c>
      <c r="D4" s="13" t="e">
        <f ca="1">_xludf.MINIFS('Selected stimuli 88'!$I$2:$I$89,'Selected stimuli 88'!$H$2:$H$89,A4)</f>
        <v>#NAME?</v>
      </c>
      <c r="E4" s="13" t="e">
        <f ca="1">_xludf.MAXIFS('Selected stimuli 88'!$I$2:$I$89,'Selected stimuli 88'!$H$2:$H$89,A4)</f>
        <v>#NAME?</v>
      </c>
      <c r="F4" s="13" t="str">
        <f>IF(B4=22,"OK","CHECK")</f>
        <v>OK</v>
      </c>
    </row>
    <row r="5" spans="1:6" ht="15" customHeight="1" x14ac:dyDescent="0.15">
      <c r="A5" s="19" t="s">
        <v>153</v>
      </c>
      <c r="B5" s="13">
        <f>COUNTIF('Selected stimuli 88'!$H$2:$H$89,A5)</f>
        <v>22</v>
      </c>
      <c r="C5" s="20">
        <f>AVERAGEIF('Selected stimuli 88'!$H$2:$H$89,A5,'Selected stimuli 88'!$I$2:$I$89)</f>
        <v>13.772727272727273</v>
      </c>
      <c r="D5" s="13" t="e">
        <f ca="1">_xludf.MINIFS('Selected stimuli 88'!$I$2:$I$89,'Selected stimuli 88'!$H$2:$H$89,A5)</f>
        <v>#NAME?</v>
      </c>
      <c r="E5" s="13" t="e">
        <f ca="1">_xludf.MAXIFS('Selected stimuli 88'!$I$2:$I$89,'Selected stimuli 88'!$H$2:$H$89,A5)</f>
        <v>#NAME?</v>
      </c>
      <c r="F5" s="13" t="str">
        <f>IF(B5=22,"OK","CHECK")</f>
        <v>OK</v>
      </c>
    </row>
    <row r="6" spans="1:6" ht="15" customHeight="1" x14ac:dyDescent="0.15">
      <c r="A6" s="19" t="s">
        <v>162</v>
      </c>
      <c r="B6" s="13">
        <f>COUNTIF('Selected stimuli 88'!$H$2:$H$89,A6)</f>
        <v>22</v>
      </c>
      <c r="C6" s="20">
        <f>AVERAGEIF('Selected stimuli 88'!$H$2:$H$89,A6,'Selected stimuli 88'!$I$2:$I$89)</f>
        <v>14.045454545454545</v>
      </c>
      <c r="D6" s="13" t="e">
        <f ca="1">_xludf.MINIFS('Selected stimuli 88'!$I$2:$I$89,'Selected stimuli 88'!$H$2:$H$89,A6)</f>
        <v>#NAME?</v>
      </c>
      <c r="E6" s="13" t="e">
        <f ca="1">_xludf.MAXIFS('Selected stimuli 88'!$I$2:$I$89,'Selected stimuli 88'!$H$2:$H$89,A6)</f>
        <v>#NAME?</v>
      </c>
      <c r="F6" s="13" t="str">
        <f>IF(B6=22,"OK","CHECK")</f>
        <v>OK</v>
      </c>
    </row>
    <row r="7" spans="1:6" ht="15" customHeight="1" x14ac:dyDescent="0.15">
      <c r="A7" s="19" t="s">
        <v>164</v>
      </c>
      <c r="B7" s="13">
        <f>COUNTIF('Selected stimuli 88'!$H$2:$H$89,A7)</f>
        <v>22</v>
      </c>
      <c r="C7" s="20">
        <f>AVERAGEIF('Selected stimuli 88'!$H$2:$H$89,A7,'Selected stimuli 88'!$I$2:$I$89)</f>
        <v>14.045454545454545</v>
      </c>
      <c r="D7" s="13" t="e">
        <f ca="1">_xludf.MINIFS('Selected stimuli 88'!$I$2:$I$89,'Selected stimuli 88'!$H$2:$H$89,A7)</f>
        <v>#NAME?</v>
      </c>
      <c r="E7" s="13" t="e">
        <f ca="1">_xludf.MAXIFS('Selected stimuli 88'!$I$2:$I$89,'Selected stimuli 88'!$H$2:$H$89,A7)</f>
        <v>#NAME?</v>
      </c>
      <c r="F7" s="13" t="str">
        <f>IF(B7=22,"OK","CHECK")</f>
        <v>OK</v>
      </c>
    </row>
    <row r="8" spans="1:6" ht="15" customHeight="1" x14ac:dyDescent="0.15">
      <c r="A8" s="8"/>
      <c r="B8" s="13"/>
      <c r="C8" s="13"/>
      <c r="D8" s="13"/>
      <c r="E8" s="13"/>
      <c r="F8" s="13"/>
    </row>
    <row r="9" spans="1:6" ht="15" customHeight="1" x14ac:dyDescent="0.15">
      <c r="A9" s="22" t="s">
        <v>929</v>
      </c>
      <c r="B9" s="25" t="s">
        <v>930</v>
      </c>
      <c r="C9" s="13"/>
      <c r="D9" s="13"/>
      <c r="E9" s="13"/>
      <c r="F9" s="13"/>
    </row>
    <row r="10" spans="1:6" ht="15" customHeight="1" x14ac:dyDescent="0.15">
      <c r="A10" s="8" t="s">
        <v>931</v>
      </c>
      <c r="B10" s="13">
        <f>COUNTA('Selected stimuli 88'!$A$2:$A$89)</f>
        <v>88</v>
      </c>
      <c r="C10" s="13"/>
      <c r="D10" s="13"/>
      <c r="E10" s="13"/>
      <c r="F10" s="13"/>
    </row>
    <row r="11" spans="1:6" ht="15" customHeight="1" x14ac:dyDescent="0.15">
      <c r="A11" s="8" t="s">
        <v>932</v>
      </c>
      <c r="B11" s="13">
        <f>COUNTA('Selected stimuli 88'!$A$2:$A$89)/2</f>
        <v>44</v>
      </c>
      <c r="C11" s="13"/>
      <c r="D11" s="13"/>
      <c r="E11" s="13"/>
      <c r="F11" s="13"/>
    </row>
    <row r="12" spans="1:6" ht="15" customHeight="1" x14ac:dyDescent="0.15">
      <c r="A12" s="8" t="s">
        <v>933</v>
      </c>
      <c r="B12" s="13">
        <f>COUNTIFS('Selected stimuli 88'!$C$2:$C$89,"Selected arguments.xlsx",'Selected stimuli 88'!$G$2:$G$89,"Source statement")</f>
        <v>12</v>
      </c>
      <c r="C12" s="13"/>
      <c r="D12" s="13"/>
      <c r="E12" s="13"/>
      <c r="F12" s="13"/>
    </row>
    <row r="13" spans="1:6" ht="15" customHeight="1" x14ac:dyDescent="0.15">
      <c r="A13" s="8" t="s">
        <v>934</v>
      </c>
      <c r="B13" s="20">
        <f>MAX('Selected stimuli 88'!$J$2:$J$89)</f>
        <v>1</v>
      </c>
      <c r="C13" s="13"/>
      <c r="D13" s="13"/>
      <c r="E13" s="13"/>
      <c r="F13" s="13"/>
    </row>
    <row r="14" spans="1:6" ht="15" customHeight="1" x14ac:dyDescent="0.15">
      <c r="A14" s="8" t="s">
        <v>935</v>
      </c>
      <c r="B14" s="20">
        <f>MAX($C$4:$C$7)-MIN($C$4:$C$7)</f>
        <v>0.2727272727272716</v>
      </c>
      <c r="C14" s="13"/>
      <c r="D14" s="13"/>
      <c r="E14" s="13"/>
      <c r="F14" s="13"/>
    </row>
    <row r="15" spans="1:6" ht="15" customHeight="1" x14ac:dyDescent="0.15">
      <c r="A15" s="8" t="s">
        <v>936</v>
      </c>
      <c r="B15" s="13" t="str">
        <f>IF(AND(RIGHT($A$18,1)="?",RIGHT($A$19,1)="?",RIGHT($A$20,1)="?",RIGHT($A$21,1)="?",RIGHT($A$22,1)="?",RIGHT($A$23,1)="?",RIGHT($A$24,1)="?",RIGHT($A$25,1)="?",RIGHT($A$26,1)="?",RIGHT($A$27,1)="?",RIGHT($A$28,1)="?"),"OK","CHECK")</f>
        <v>OK</v>
      </c>
      <c r="C15" s="13"/>
      <c r="D15" s="13"/>
      <c r="E15" s="13"/>
      <c r="F15" s="13"/>
    </row>
    <row r="16" spans="1:6" ht="15" customHeight="1" x14ac:dyDescent="0.15">
      <c r="A16" s="8"/>
      <c r="B16" s="13"/>
      <c r="C16" s="13"/>
      <c r="D16" s="13"/>
      <c r="E16" s="13"/>
      <c r="F16" s="13"/>
    </row>
    <row r="17" spans="1:6" ht="15" customHeight="1" x14ac:dyDescent="0.15">
      <c r="A17" s="26" t="s">
        <v>2</v>
      </c>
      <c r="B17" s="27" t="s">
        <v>150</v>
      </c>
      <c r="C17" s="27" t="s">
        <v>153</v>
      </c>
      <c r="D17" s="27" t="s">
        <v>162</v>
      </c>
      <c r="E17" s="27" t="s">
        <v>164</v>
      </c>
      <c r="F17" s="27" t="s">
        <v>937</v>
      </c>
    </row>
    <row r="18" spans="1:6" ht="15" customHeight="1" x14ac:dyDescent="0.15">
      <c r="A18" s="8" t="s">
        <v>9</v>
      </c>
      <c r="B18" s="13">
        <f>COUNTIFS('Selected stimuli 88'!$E$2:$E$89,$A18,'Selected stimuli 88'!$H$2:$H$89,B$17)</f>
        <v>2</v>
      </c>
      <c r="C18" s="13">
        <f>COUNTIFS('Selected stimuli 88'!$E$2:$E$89,$A18,'Selected stimuli 88'!$H$2:$H$89,C$17)</f>
        <v>2</v>
      </c>
      <c r="D18" s="13">
        <f>COUNTIFS('Selected stimuli 88'!$E$2:$E$89,$A18,'Selected stimuli 88'!$H$2:$H$89,D$17)</f>
        <v>2</v>
      </c>
      <c r="E18" s="13">
        <f>COUNTIFS('Selected stimuli 88'!$E$2:$E$89,$A18,'Selected stimuli 88'!$H$2:$H$89,E$17)</f>
        <v>2</v>
      </c>
      <c r="F18" s="13" t="str">
        <f t="shared" ref="F18:F28" si="0">IF(AND(B18=2,C18=2,D18=2,E18=2),"OK","CHECK")</f>
        <v>OK</v>
      </c>
    </row>
    <row r="19" spans="1:6" ht="15" customHeight="1" x14ac:dyDescent="0.15">
      <c r="A19" s="8" t="s">
        <v>730</v>
      </c>
      <c r="B19" s="13">
        <f>COUNTIFS('Selected stimuli 88'!$E$2:$E$89,$A19,'Selected stimuli 88'!$H$2:$H$89,B$17)</f>
        <v>2</v>
      </c>
      <c r="C19" s="13">
        <f>COUNTIFS('Selected stimuli 88'!$E$2:$E$89,$A19,'Selected stimuli 88'!$H$2:$H$89,C$17)</f>
        <v>2</v>
      </c>
      <c r="D19" s="13">
        <f>COUNTIFS('Selected stimuli 88'!$E$2:$E$89,$A19,'Selected stimuli 88'!$H$2:$H$89,D$17)</f>
        <v>2</v>
      </c>
      <c r="E19" s="13">
        <f>COUNTIFS('Selected stimuli 88'!$E$2:$E$89,$A19,'Selected stimuli 88'!$H$2:$H$89,E$17)</f>
        <v>2</v>
      </c>
      <c r="F19" s="13" t="str">
        <f t="shared" si="0"/>
        <v>OK</v>
      </c>
    </row>
    <row r="20" spans="1:6" ht="15" customHeight="1" x14ac:dyDescent="0.15">
      <c r="A20" s="8" t="s">
        <v>20</v>
      </c>
      <c r="B20" s="13">
        <f>COUNTIFS('Selected stimuli 88'!$E$2:$E$89,$A20,'Selected stimuli 88'!$H$2:$H$89,B$17)</f>
        <v>2</v>
      </c>
      <c r="C20" s="13">
        <f>COUNTIFS('Selected stimuli 88'!$E$2:$E$89,$A20,'Selected stimuli 88'!$H$2:$H$89,C$17)</f>
        <v>2</v>
      </c>
      <c r="D20" s="13">
        <f>COUNTIFS('Selected stimuli 88'!$E$2:$E$89,$A20,'Selected stimuli 88'!$H$2:$H$89,D$17)</f>
        <v>2</v>
      </c>
      <c r="E20" s="13">
        <f>COUNTIFS('Selected stimuli 88'!$E$2:$E$89,$A20,'Selected stimuli 88'!$H$2:$H$89,E$17)</f>
        <v>2</v>
      </c>
      <c r="F20" s="13" t="str">
        <f t="shared" si="0"/>
        <v>OK</v>
      </c>
    </row>
    <row r="21" spans="1:6" ht="15" customHeight="1" x14ac:dyDescent="0.15">
      <c r="A21" s="8" t="s">
        <v>47</v>
      </c>
      <c r="B21" s="13">
        <f>COUNTIFS('Selected stimuli 88'!$E$2:$E$89,$A21,'Selected stimuli 88'!$H$2:$H$89,B$17)</f>
        <v>2</v>
      </c>
      <c r="C21" s="13">
        <f>COUNTIFS('Selected stimuli 88'!$E$2:$E$89,$A21,'Selected stimuli 88'!$H$2:$H$89,C$17)</f>
        <v>2</v>
      </c>
      <c r="D21" s="13">
        <f>COUNTIFS('Selected stimuli 88'!$E$2:$E$89,$A21,'Selected stimuli 88'!$H$2:$H$89,D$17)</f>
        <v>2</v>
      </c>
      <c r="E21" s="13">
        <f>COUNTIFS('Selected stimuli 88'!$E$2:$E$89,$A21,'Selected stimuli 88'!$H$2:$H$89,E$17)</f>
        <v>2</v>
      </c>
      <c r="F21" s="13" t="str">
        <f t="shared" si="0"/>
        <v>OK</v>
      </c>
    </row>
    <row r="22" spans="1:6" ht="15" customHeight="1" x14ac:dyDescent="0.15">
      <c r="A22" s="8" t="s">
        <v>771</v>
      </c>
      <c r="B22" s="13">
        <f>COUNTIFS('Selected stimuli 88'!$E$2:$E$89,$A22,'Selected stimuli 88'!$H$2:$H$89,B$17)</f>
        <v>2</v>
      </c>
      <c r="C22" s="13">
        <f>COUNTIFS('Selected stimuli 88'!$E$2:$E$89,$A22,'Selected stimuli 88'!$H$2:$H$89,C$17)</f>
        <v>2</v>
      </c>
      <c r="D22" s="13">
        <f>COUNTIFS('Selected stimuli 88'!$E$2:$E$89,$A22,'Selected stimuli 88'!$H$2:$H$89,D$17)</f>
        <v>2</v>
      </c>
      <c r="E22" s="13">
        <f>COUNTIFS('Selected stimuli 88'!$E$2:$E$89,$A22,'Selected stimuli 88'!$H$2:$H$89,E$17)</f>
        <v>2</v>
      </c>
      <c r="F22" s="13" t="str">
        <f t="shared" si="0"/>
        <v>OK</v>
      </c>
    </row>
    <row r="23" spans="1:6" ht="15" customHeight="1" x14ac:dyDescent="0.15">
      <c r="A23" s="8" t="s">
        <v>785</v>
      </c>
      <c r="B23" s="13">
        <f>COUNTIFS('Selected stimuli 88'!$E$2:$E$89,$A23,'Selected stimuli 88'!$H$2:$H$89,B$17)</f>
        <v>2</v>
      </c>
      <c r="C23" s="13">
        <f>COUNTIFS('Selected stimuli 88'!$E$2:$E$89,$A23,'Selected stimuli 88'!$H$2:$H$89,C$17)</f>
        <v>2</v>
      </c>
      <c r="D23" s="13">
        <f>COUNTIFS('Selected stimuli 88'!$E$2:$E$89,$A23,'Selected stimuli 88'!$H$2:$H$89,D$17)</f>
        <v>2</v>
      </c>
      <c r="E23" s="13">
        <f>COUNTIFS('Selected stimuli 88'!$E$2:$E$89,$A23,'Selected stimuli 88'!$H$2:$H$89,E$17)</f>
        <v>2</v>
      </c>
      <c r="F23" s="13" t="str">
        <f t="shared" si="0"/>
        <v>OK</v>
      </c>
    </row>
    <row r="24" spans="1:6" ht="15" customHeight="1" x14ac:dyDescent="0.15">
      <c r="A24" s="8" t="s">
        <v>801</v>
      </c>
      <c r="B24" s="13">
        <f>COUNTIFS('Selected stimuli 88'!$E$2:$E$89,$A24,'Selected stimuli 88'!$H$2:$H$89,B$17)</f>
        <v>2</v>
      </c>
      <c r="C24" s="13">
        <f>COUNTIFS('Selected stimuli 88'!$E$2:$E$89,$A24,'Selected stimuli 88'!$H$2:$H$89,C$17)</f>
        <v>2</v>
      </c>
      <c r="D24" s="13">
        <f>COUNTIFS('Selected stimuli 88'!$E$2:$E$89,$A24,'Selected stimuli 88'!$H$2:$H$89,D$17)</f>
        <v>2</v>
      </c>
      <c r="E24" s="13">
        <f>COUNTIFS('Selected stimuli 88'!$E$2:$E$89,$A24,'Selected stimuli 88'!$H$2:$H$89,E$17)</f>
        <v>2</v>
      </c>
      <c r="F24" s="13" t="str">
        <f t="shared" si="0"/>
        <v>OK</v>
      </c>
    </row>
    <row r="25" spans="1:6" ht="15" customHeight="1" x14ac:dyDescent="0.15">
      <c r="A25" s="8" t="s">
        <v>828</v>
      </c>
      <c r="B25" s="13">
        <f>COUNTIFS('Selected stimuli 88'!$E$2:$E$89,$A25,'Selected stimuli 88'!$H$2:$H$89,B$17)</f>
        <v>2</v>
      </c>
      <c r="C25" s="13">
        <f>COUNTIFS('Selected stimuli 88'!$E$2:$E$89,$A25,'Selected stimuli 88'!$H$2:$H$89,C$17)</f>
        <v>2</v>
      </c>
      <c r="D25" s="13">
        <f>COUNTIFS('Selected stimuli 88'!$E$2:$E$89,$A25,'Selected stimuli 88'!$H$2:$H$89,D$17)</f>
        <v>2</v>
      </c>
      <c r="E25" s="13">
        <f>COUNTIFS('Selected stimuli 88'!$E$2:$E$89,$A25,'Selected stimuli 88'!$H$2:$H$89,E$17)</f>
        <v>2</v>
      </c>
      <c r="F25" s="13" t="str">
        <f t="shared" si="0"/>
        <v>OK</v>
      </c>
    </row>
    <row r="26" spans="1:6" ht="15" customHeight="1" x14ac:dyDescent="0.15">
      <c r="A26" s="8" t="s">
        <v>853</v>
      </c>
      <c r="B26" s="13">
        <f>COUNTIFS('Selected stimuli 88'!$E$2:$E$89,$A26,'Selected stimuli 88'!$H$2:$H$89,B$17)</f>
        <v>2</v>
      </c>
      <c r="C26" s="13">
        <f>COUNTIFS('Selected stimuli 88'!$E$2:$E$89,$A26,'Selected stimuli 88'!$H$2:$H$89,C$17)</f>
        <v>2</v>
      </c>
      <c r="D26" s="13">
        <f>COUNTIFS('Selected stimuli 88'!$E$2:$E$89,$A26,'Selected stimuli 88'!$H$2:$H$89,D$17)</f>
        <v>2</v>
      </c>
      <c r="E26" s="13">
        <f>COUNTIFS('Selected stimuli 88'!$E$2:$E$89,$A26,'Selected stimuli 88'!$H$2:$H$89,E$17)</f>
        <v>2</v>
      </c>
      <c r="F26" s="13" t="str">
        <f t="shared" si="0"/>
        <v>OK</v>
      </c>
    </row>
    <row r="27" spans="1:6" ht="15" customHeight="1" x14ac:dyDescent="0.15">
      <c r="A27" s="8" t="s">
        <v>877</v>
      </c>
      <c r="B27" s="13">
        <f>COUNTIFS('Selected stimuli 88'!$E$2:$E$89,$A27,'Selected stimuli 88'!$H$2:$H$89,B$17)</f>
        <v>2</v>
      </c>
      <c r="C27" s="13">
        <f>COUNTIFS('Selected stimuli 88'!$E$2:$E$89,$A27,'Selected stimuli 88'!$H$2:$H$89,C$17)</f>
        <v>2</v>
      </c>
      <c r="D27" s="13">
        <f>COUNTIFS('Selected stimuli 88'!$E$2:$E$89,$A27,'Selected stimuli 88'!$H$2:$H$89,D$17)</f>
        <v>2</v>
      </c>
      <c r="E27" s="13">
        <f>COUNTIFS('Selected stimuli 88'!$E$2:$E$89,$A27,'Selected stimuli 88'!$H$2:$H$89,E$17)</f>
        <v>2</v>
      </c>
      <c r="F27" s="13" t="str">
        <f t="shared" si="0"/>
        <v>OK</v>
      </c>
    </row>
    <row r="28" spans="1:6" ht="15" customHeight="1" x14ac:dyDescent="0.15">
      <c r="A28" s="8" t="s">
        <v>901</v>
      </c>
      <c r="B28" s="13">
        <f>COUNTIFS('Selected stimuli 88'!$E$2:$E$89,$A28,'Selected stimuli 88'!$H$2:$H$89,B$17)</f>
        <v>2</v>
      </c>
      <c r="C28" s="13">
        <f>COUNTIFS('Selected stimuli 88'!$E$2:$E$89,$A28,'Selected stimuli 88'!$H$2:$H$89,C$17)</f>
        <v>2</v>
      </c>
      <c r="D28" s="13">
        <f>COUNTIFS('Selected stimuli 88'!$E$2:$E$89,$A28,'Selected stimuli 88'!$H$2:$H$89,D$17)</f>
        <v>2</v>
      </c>
      <c r="E28" s="13">
        <f>COUNTIFS('Selected stimuli 88'!$E$2:$E$89,$A28,'Selected stimuli 88'!$H$2:$H$89,E$17)</f>
        <v>2</v>
      </c>
      <c r="F28" s="13" t="str">
        <f t="shared" si="0"/>
        <v>OK</v>
      </c>
    </row>
  </sheetData>
  <mergeCells count="1">
    <mergeCell ref="A1:F1"/>
  </mergeCells>
  <conditionalFormatting sqref="F4:F27">
    <cfRule type="containsText" dxfId="15" priority="1" operator="containsText" text="OK"/>
    <cfRule type="containsText" dxfId="14" priority="3" operator="containsText" text="CHECK"/>
  </conditionalFormatting>
  <conditionalFormatting sqref="F4:F28">
    <cfRule type="containsText" dxfId="13" priority="4" operator="containsText" text="OK"/>
    <cfRule type="containsText" dxfId="12" priority="5" operator="containsText" text="CHECK"/>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0"/>
  <sheetViews>
    <sheetView showGridLines="0" workbookViewId="0"/>
  </sheetViews>
  <sheetFormatPr baseColWidth="10" defaultColWidth="8.83203125" defaultRowHeight="13" x14ac:dyDescent="0.15"/>
  <cols>
    <col min="1" max="1" width="34" customWidth="1"/>
    <col min="2" max="2" width="50" customWidth="1"/>
    <col min="3" max="3" width="76" customWidth="1"/>
    <col min="4" max="4" width="90" customWidth="1"/>
  </cols>
  <sheetData>
    <row r="1" spans="1:4" ht="16.75" customHeight="1" x14ac:dyDescent="0.15">
      <c r="A1" s="30" t="s">
        <v>938</v>
      </c>
      <c r="B1" s="30"/>
      <c r="C1" s="30"/>
      <c r="D1" s="30"/>
    </row>
    <row r="2" spans="1:4" ht="15" customHeight="1" x14ac:dyDescent="0.15"/>
    <row r="3" spans="1:4" ht="15" customHeight="1" x14ac:dyDescent="0.15">
      <c r="A3" s="22" t="s">
        <v>939</v>
      </c>
      <c r="B3" s="24" t="s">
        <v>930</v>
      </c>
      <c r="C3" s="8"/>
      <c r="D3" s="8"/>
    </row>
    <row r="4" spans="1:4" ht="15" customHeight="1" x14ac:dyDescent="0.15">
      <c r="A4" s="8" t="s">
        <v>940</v>
      </c>
      <c r="B4" s="8">
        <v>100</v>
      </c>
      <c r="C4" s="8"/>
      <c r="D4" s="8"/>
    </row>
    <row r="5" spans="1:4" ht="15" customHeight="1" x14ac:dyDescent="0.15">
      <c r="A5" s="8" t="s">
        <v>941</v>
      </c>
      <c r="B5" s="8">
        <v>23</v>
      </c>
      <c r="C5" s="8"/>
      <c r="D5" s="8"/>
    </row>
    <row r="6" spans="1:4" ht="15" customHeight="1" x14ac:dyDescent="0.15">
      <c r="A6" s="8" t="s">
        <v>933</v>
      </c>
      <c r="B6" s="8">
        <v>12</v>
      </c>
      <c r="C6" s="8"/>
      <c r="D6" s="8"/>
    </row>
    <row r="7" spans="1:4" ht="15" customHeight="1" x14ac:dyDescent="0.15">
      <c r="A7" s="8" t="s">
        <v>942</v>
      </c>
      <c r="B7" s="8">
        <v>12</v>
      </c>
      <c r="C7" s="8"/>
      <c r="D7" s="8"/>
    </row>
    <row r="8" spans="1:4" ht="24" customHeight="1" x14ac:dyDescent="0.15">
      <c r="A8" s="8" t="s">
        <v>943</v>
      </c>
      <c r="B8" s="8">
        <v>4</v>
      </c>
      <c r="C8" s="8"/>
      <c r="D8" s="8"/>
    </row>
    <row r="9" spans="1:4" ht="24" customHeight="1" x14ac:dyDescent="0.15">
      <c r="A9" s="8" t="s">
        <v>944</v>
      </c>
      <c r="B9" s="8">
        <v>16</v>
      </c>
      <c r="C9" s="8"/>
      <c r="D9" s="8"/>
    </row>
    <row r="10" spans="1:4" ht="15" customHeight="1" x14ac:dyDescent="0.15">
      <c r="A10" s="8" t="s">
        <v>945</v>
      </c>
      <c r="B10" s="8">
        <v>44</v>
      </c>
      <c r="C10" s="8"/>
      <c r="D10" s="8"/>
    </row>
    <row r="11" spans="1:4" ht="15" customHeight="1" x14ac:dyDescent="0.15">
      <c r="A11" s="8" t="s">
        <v>946</v>
      </c>
      <c r="B11" s="8">
        <v>44</v>
      </c>
      <c r="C11" s="8"/>
      <c r="D11" s="8"/>
    </row>
    <row r="12" spans="1:4" ht="15" customHeight="1" x14ac:dyDescent="0.15">
      <c r="A12" s="8" t="s">
        <v>947</v>
      </c>
      <c r="B12" s="8">
        <v>88</v>
      </c>
      <c r="C12" s="8"/>
      <c r="D12" s="8"/>
    </row>
    <row r="13" spans="1:4" ht="15" customHeight="1" x14ac:dyDescent="0.15">
      <c r="A13" s="16" t="s">
        <v>948</v>
      </c>
      <c r="B13" s="18" t="s">
        <v>949</v>
      </c>
      <c r="C13" s="8"/>
      <c r="D13" s="8"/>
    </row>
    <row r="14" spans="1:4" ht="15" customHeight="1" x14ac:dyDescent="0.15">
      <c r="A14" s="28"/>
      <c r="B14" s="28"/>
      <c r="C14" s="8"/>
      <c r="D14" s="8"/>
    </row>
    <row r="15" spans="1:4" ht="15" customHeight="1" x14ac:dyDescent="0.15">
      <c r="A15" s="26" t="s">
        <v>950</v>
      </c>
      <c r="B15" s="26" t="s">
        <v>951</v>
      </c>
      <c r="C15" s="8"/>
      <c r="D15" s="8"/>
    </row>
    <row r="16" spans="1:4" ht="36" customHeight="1" x14ac:dyDescent="0.15">
      <c r="A16" s="8" t="s">
        <v>952</v>
      </c>
      <c r="B16" s="8" t="s">
        <v>953</v>
      </c>
      <c r="C16" s="8"/>
      <c r="D16" s="8"/>
    </row>
    <row r="17" spans="1:4" ht="24" customHeight="1" x14ac:dyDescent="0.15">
      <c r="A17" s="8" t="s">
        <v>954</v>
      </c>
      <c r="B17" s="8" t="s">
        <v>955</v>
      </c>
      <c r="C17" s="8"/>
      <c r="D17" s="8"/>
    </row>
    <row r="18" spans="1:4" ht="48" customHeight="1" x14ac:dyDescent="0.15">
      <c r="A18" s="8" t="s">
        <v>956</v>
      </c>
      <c r="B18" s="8" t="s">
        <v>957</v>
      </c>
      <c r="C18" s="8"/>
      <c r="D18" s="8"/>
    </row>
    <row r="19" spans="1:4" ht="24" customHeight="1" x14ac:dyDescent="0.15">
      <c r="A19" s="8" t="s">
        <v>937</v>
      </c>
      <c r="B19" s="8" t="s">
        <v>958</v>
      </c>
      <c r="C19" s="8"/>
      <c r="D19" s="8"/>
    </row>
    <row r="20" spans="1:4" ht="24" customHeight="1" x14ac:dyDescent="0.15">
      <c r="A20" s="8" t="s">
        <v>959</v>
      </c>
      <c r="B20" s="8" t="s">
        <v>960</v>
      </c>
      <c r="C20" s="8"/>
      <c r="D20" s="8"/>
    </row>
    <row r="21" spans="1:4" ht="36" customHeight="1" x14ac:dyDescent="0.15">
      <c r="A21" s="8" t="s">
        <v>961</v>
      </c>
      <c r="B21" s="8" t="s">
        <v>962</v>
      </c>
      <c r="C21" s="8"/>
      <c r="D21" s="8"/>
    </row>
    <row r="22" spans="1:4" ht="36" customHeight="1" x14ac:dyDescent="0.15">
      <c r="A22" s="8" t="s">
        <v>963</v>
      </c>
      <c r="B22" s="8" t="s">
        <v>964</v>
      </c>
      <c r="C22" s="8"/>
      <c r="D22" s="8"/>
    </row>
    <row r="23" spans="1:4" ht="36" customHeight="1" x14ac:dyDescent="0.15">
      <c r="A23" s="16" t="s">
        <v>965</v>
      </c>
      <c r="B23" s="17" t="s">
        <v>966</v>
      </c>
      <c r="C23" s="17"/>
      <c r="D23" s="18"/>
    </row>
    <row r="24" spans="1:4" ht="15" customHeight="1" x14ac:dyDescent="0.15">
      <c r="A24" s="8"/>
      <c r="B24" s="8"/>
      <c r="C24" s="8"/>
      <c r="D24" s="8"/>
    </row>
    <row r="25" spans="1:4" ht="15" customHeight="1" x14ac:dyDescent="0.15">
      <c r="A25" s="28"/>
      <c r="B25" s="28"/>
      <c r="C25" s="28"/>
      <c r="D25" s="28"/>
    </row>
    <row r="26" spans="1:4" ht="15" customHeight="1" x14ac:dyDescent="0.15">
      <c r="A26" s="26" t="s">
        <v>967</v>
      </c>
      <c r="B26" s="26" t="s">
        <v>968</v>
      </c>
      <c r="C26" s="26" t="s">
        <v>969</v>
      </c>
      <c r="D26" s="26" t="s">
        <v>211</v>
      </c>
    </row>
    <row r="27" spans="1:4" ht="15" customHeight="1" x14ac:dyDescent="0.15">
      <c r="A27" s="8" t="s">
        <v>970</v>
      </c>
      <c r="B27" s="8" t="s">
        <v>971</v>
      </c>
      <c r="C27" s="8" t="s">
        <v>972</v>
      </c>
      <c r="D27" s="8" t="s">
        <v>973</v>
      </c>
    </row>
    <row r="28" spans="1:4" ht="15" customHeight="1" x14ac:dyDescent="0.15">
      <c r="A28" s="8" t="s">
        <v>974</v>
      </c>
      <c r="B28" s="8" t="s">
        <v>975</v>
      </c>
      <c r="C28" s="8" t="s">
        <v>972</v>
      </c>
      <c r="D28" s="8" t="s">
        <v>976</v>
      </c>
    </row>
    <row r="29" spans="1:4" ht="24" customHeight="1" x14ac:dyDescent="0.15">
      <c r="A29" s="8" t="s">
        <v>977</v>
      </c>
      <c r="B29" s="8" t="s">
        <v>978</v>
      </c>
      <c r="C29" s="8" t="s">
        <v>979</v>
      </c>
      <c r="D29" s="8" t="s">
        <v>980</v>
      </c>
    </row>
    <row r="30" spans="1:4" ht="24" customHeight="1" x14ac:dyDescent="0.15">
      <c r="A30" s="8" t="s">
        <v>981</v>
      </c>
      <c r="B30" s="8" t="s">
        <v>982</v>
      </c>
      <c r="C30" s="8" t="s">
        <v>983</v>
      </c>
      <c r="D30" s="8" t="s">
        <v>984</v>
      </c>
    </row>
    <row r="31" spans="1:4" ht="15" customHeight="1" x14ac:dyDescent="0.15">
      <c r="A31" s="8" t="s">
        <v>985</v>
      </c>
      <c r="B31" s="8" t="s">
        <v>986</v>
      </c>
      <c r="C31" s="8" t="s">
        <v>987</v>
      </c>
      <c r="D31" s="8" t="s">
        <v>988</v>
      </c>
    </row>
    <row r="32" spans="1:4" ht="24" customHeight="1" x14ac:dyDescent="0.15">
      <c r="A32" s="8" t="s">
        <v>989</v>
      </c>
      <c r="B32" s="8" t="s">
        <v>990</v>
      </c>
      <c r="C32" s="8" t="s">
        <v>991</v>
      </c>
      <c r="D32" s="8" t="s">
        <v>992</v>
      </c>
    </row>
    <row r="33" spans="1:4" ht="15" customHeight="1" x14ac:dyDescent="0.15">
      <c r="A33" s="8" t="s">
        <v>993</v>
      </c>
      <c r="B33" s="8" t="s">
        <v>994</v>
      </c>
      <c r="C33" s="8" t="s">
        <v>995</v>
      </c>
      <c r="D33" s="8" t="s">
        <v>996</v>
      </c>
    </row>
    <row r="34" spans="1:4" ht="24" customHeight="1" x14ac:dyDescent="0.15">
      <c r="A34" s="8" t="s">
        <v>997</v>
      </c>
      <c r="B34" s="8" t="s">
        <v>998</v>
      </c>
      <c r="C34" s="8" t="s">
        <v>999</v>
      </c>
      <c r="D34" s="8" t="s">
        <v>1000</v>
      </c>
    </row>
    <row r="35" spans="1:4" ht="24" customHeight="1" x14ac:dyDescent="0.15">
      <c r="A35" s="8" t="s">
        <v>1001</v>
      </c>
      <c r="B35" s="8" t="s">
        <v>1002</v>
      </c>
      <c r="C35" s="8" t="s">
        <v>1003</v>
      </c>
      <c r="D35" s="8" t="s">
        <v>1004</v>
      </c>
    </row>
    <row r="36" spans="1:4" ht="15" customHeight="1" x14ac:dyDescent="0.15">
      <c r="A36" s="8" t="s">
        <v>1005</v>
      </c>
      <c r="B36" s="8" t="s">
        <v>1006</v>
      </c>
      <c r="C36" s="8" t="s">
        <v>1007</v>
      </c>
      <c r="D36" s="8" t="s">
        <v>1008</v>
      </c>
    </row>
    <row r="37" spans="1:4" ht="15" customHeight="1" x14ac:dyDescent="0.15">
      <c r="A37" s="8" t="s">
        <v>1009</v>
      </c>
      <c r="B37" s="8" t="s">
        <v>1010</v>
      </c>
      <c r="C37" s="8" t="s">
        <v>1011</v>
      </c>
      <c r="D37" s="8" t="s">
        <v>1012</v>
      </c>
    </row>
    <row r="38" spans="1:4" ht="15" customHeight="1" x14ac:dyDescent="0.15">
      <c r="A38" s="8" t="s">
        <v>1013</v>
      </c>
      <c r="B38" s="8" t="s">
        <v>1014</v>
      </c>
      <c r="C38" s="8" t="s">
        <v>1015</v>
      </c>
      <c r="D38" s="8" t="s">
        <v>1016</v>
      </c>
    </row>
    <row r="39" spans="1:4" ht="24" customHeight="1" x14ac:dyDescent="0.15">
      <c r="A39" s="8" t="s">
        <v>1017</v>
      </c>
      <c r="B39" s="8" t="s">
        <v>1018</v>
      </c>
      <c r="C39" s="8" t="s">
        <v>1019</v>
      </c>
      <c r="D39" s="8" t="s">
        <v>1020</v>
      </c>
    </row>
    <row r="40" spans="1:4" ht="24" customHeight="1" x14ac:dyDescent="0.15">
      <c r="A40" s="8" t="s">
        <v>1021</v>
      </c>
      <c r="B40" s="8" t="s">
        <v>1022</v>
      </c>
      <c r="C40" s="8" t="s">
        <v>1023</v>
      </c>
      <c r="D40" s="8" t="s">
        <v>1024</v>
      </c>
    </row>
    <row r="41" spans="1:4" ht="15" customHeight="1" x14ac:dyDescent="0.15">
      <c r="A41" s="8" t="s">
        <v>1025</v>
      </c>
      <c r="B41" s="8" t="s">
        <v>1026</v>
      </c>
      <c r="C41" s="8" t="s">
        <v>1027</v>
      </c>
      <c r="D41" s="8" t="s">
        <v>1028</v>
      </c>
    </row>
    <row r="42" spans="1:4" ht="15" customHeight="1" x14ac:dyDescent="0.15">
      <c r="A42" s="8" t="s">
        <v>1029</v>
      </c>
      <c r="B42" s="8" t="s">
        <v>1030</v>
      </c>
      <c r="C42" s="8" t="s">
        <v>1031</v>
      </c>
      <c r="D42" s="8" t="s">
        <v>903</v>
      </c>
    </row>
    <row r="43" spans="1:4" ht="15" customHeight="1" x14ac:dyDescent="0.15">
      <c r="A43" s="8" t="s">
        <v>1032</v>
      </c>
      <c r="B43" s="8" t="s">
        <v>1033</v>
      </c>
      <c r="C43" s="8" t="s">
        <v>1034</v>
      </c>
      <c r="D43" s="8" t="s">
        <v>803</v>
      </c>
    </row>
    <row r="44" spans="1:4" ht="15" customHeight="1" x14ac:dyDescent="0.15">
      <c r="A44" s="8" t="s">
        <v>1035</v>
      </c>
      <c r="B44" s="8" t="s">
        <v>1036</v>
      </c>
      <c r="C44" s="8" t="s">
        <v>1037</v>
      </c>
      <c r="D44" s="8"/>
    </row>
    <row r="45" spans="1:4" ht="15" customHeight="1" x14ac:dyDescent="0.15">
      <c r="A45" s="8" t="s">
        <v>1038</v>
      </c>
      <c r="B45" s="8" t="s">
        <v>1039</v>
      </c>
      <c r="C45" s="8" t="s">
        <v>1040</v>
      </c>
      <c r="D45" s="8" t="s">
        <v>855</v>
      </c>
    </row>
    <row r="46" spans="1:4" ht="15" customHeight="1" x14ac:dyDescent="0.15">
      <c r="A46" s="8" t="s">
        <v>1041</v>
      </c>
      <c r="B46" s="8" t="s">
        <v>1042</v>
      </c>
      <c r="C46" s="8" t="s">
        <v>1043</v>
      </c>
      <c r="D46" s="8"/>
    </row>
    <row r="47" spans="1:4" ht="15" customHeight="1" x14ac:dyDescent="0.15">
      <c r="A47" s="8"/>
      <c r="B47" s="8"/>
      <c r="C47" s="8"/>
      <c r="D47" s="8"/>
    </row>
    <row r="48" spans="1:4" ht="15" customHeight="1" x14ac:dyDescent="0.15">
      <c r="A48" s="8"/>
      <c r="B48" s="8"/>
      <c r="C48" s="8"/>
      <c r="D48" s="8"/>
    </row>
    <row r="49" spans="1:4" ht="15" customHeight="1" x14ac:dyDescent="0.15">
      <c r="A49" s="8"/>
      <c r="B49" s="8"/>
      <c r="C49" s="8"/>
      <c r="D49" s="8"/>
    </row>
    <row r="50" spans="1:4" ht="15" customHeight="1" x14ac:dyDescent="0.15">
      <c r="A50" s="8"/>
      <c r="B50" s="8"/>
      <c r="C50" s="8"/>
      <c r="D50" s="8"/>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4"/>
  <sheetViews>
    <sheetView showGridLines="0" workbookViewId="0"/>
  </sheetViews>
  <sheetFormatPr baseColWidth="10" defaultColWidth="8.83203125" defaultRowHeight="13" x14ac:dyDescent="0.15"/>
  <cols>
    <col min="1" max="1" width="16" customWidth="1"/>
    <col min="2" max="2" width="48" customWidth="1"/>
    <col min="3" max="3" width="14" customWidth="1"/>
    <col min="4" max="4" width="66" customWidth="1"/>
    <col min="5" max="6" width="18" customWidth="1"/>
    <col min="7" max="7" width="66" customWidth="1"/>
    <col min="8" max="8" width="18" customWidth="1"/>
    <col min="9" max="11" width="12" customWidth="1"/>
    <col min="12" max="12" width="58" customWidth="1"/>
    <col min="13" max="13" width="48" customWidth="1"/>
    <col min="14" max="14" width="34" customWidth="1"/>
    <col min="15" max="15" width="56" customWidth="1"/>
  </cols>
  <sheetData>
    <row r="1" spans="1:15" ht="32" customHeight="1" x14ac:dyDescent="0.15">
      <c r="A1" s="21" t="s">
        <v>1044</v>
      </c>
      <c r="B1" s="21" t="s">
        <v>1045</v>
      </c>
      <c r="C1" s="21" t="s">
        <v>1046</v>
      </c>
      <c r="D1" s="21" t="s">
        <v>700</v>
      </c>
      <c r="E1" s="21" t="s">
        <v>1047</v>
      </c>
      <c r="F1" s="21" t="s">
        <v>142</v>
      </c>
      <c r="G1" s="21" t="s">
        <v>143</v>
      </c>
      <c r="H1" s="21" t="s">
        <v>144</v>
      </c>
      <c r="I1" s="21" t="s">
        <v>1048</v>
      </c>
      <c r="J1" s="21" t="s">
        <v>1049</v>
      </c>
      <c r="K1" s="21" t="s">
        <v>1050</v>
      </c>
      <c r="L1" s="21" t="s">
        <v>1051</v>
      </c>
      <c r="M1" s="21" t="s">
        <v>706</v>
      </c>
      <c r="N1" s="21" t="s">
        <v>1052</v>
      </c>
      <c r="O1" s="21" t="s">
        <v>1053</v>
      </c>
    </row>
    <row r="2" spans="1:15" ht="24" customHeight="1" x14ac:dyDescent="0.15">
      <c r="A2" s="21" t="s">
        <v>798</v>
      </c>
      <c r="B2" s="21" t="s">
        <v>801</v>
      </c>
      <c r="C2" s="21" t="s">
        <v>800</v>
      </c>
      <c r="D2" s="21" t="s">
        <v>802</v>
      </c>
      <c r="E2" s="21" t="s">
        <v>153</v>
      </c>
      <c r="F2" s="21" t="s">
        <v>151</v>
      </c>
      <c r="G2" s="21" t="s">
        <v>806</v>
      </c>
      <c r="H2" s="21" t="s">
        <v>150</v>
      </c>
      <c r="I2" s="21">
        <v>17</v>
      </c>
      <c r="J2" s="21">
        <v>17</v>
      </c>
      <c r="K2" s="21">
        <v>0</v>
      </c>
      <c r="L2" s="21" t="s">
        <v>1054</v>
      </c>
      <c r="M2" s="21" t="s">
        <v>804</v>
      </c>
      <c r="N2" s="21" t="s">
        <v>1055</v>
      </c>
      <c r="O2" s="21" t="s">
        <v>803</v>
      </c>
    </row>
    <row r="3" spans="1:15" ht="24" customHeight="1" x14ac:dyDescent="0.15">
      <c r="A3" s="21" t="s">
        <v>808</v>
      </c>
      <c r="B3" s="21" t="s">
        <v>801</v>
      </c>
      <c r="C3" s="21" t="s">
        <v>809</v>
      </c>
      <c r="D3" s="21" t="s">
        <v>810</v>
      </c>
      <c r="E3" s="21" t="s">
        <v>150</v>
      </c>
      <c r="F3" s="21" t="s">
        <v>151</v>
      </c>
      <c r="G3" s="21" t="s">
        <v>812</v>
      </c>
      <c r="H3" s="21" t="s">
        <v>153</v>
      </c>
      <c r="I3" s="21">
        <v>13</v>
      </c>
      <c r="J3" s="21">
        <v>13</v>
      </c>
      <c r="K3" s="21">
        <v>0</v>
      </c>
      <c r="L3" s="21" t="s">
        <v>1056</v>
      </c>
      <c r="M3" s="21" t="s">
        <v>804</v>
      </c>
      <c r="N3" s="21" t="s">
        <v>1055</v>
      </c>
      <c r="O3" s="21" t="s">
        <v>803</v>
      </c>
    </row>
    <row r="4" spans="1:15" ht="24" customHeight="1" x14ac:dyDescent="0.15">
      <c r="A4" s="21" t="s">
        <v>814</v>
      </c>
      <c r="B4" s="21" t="s">
        <v>801</v>
      </c>
      <c r="C4" s="21" t="s">
        <v>815</v>
      </c>
      <c r="D4" s="21" t="s">
        <v>816</v>
      </c>
      <c r="E4" s="21" t="s">
        <v>162</v>
      </c>
      <c r="F4" s="21" t="s">
        <v>151</v>
      </c>
      <c r="G4" s="21" t="s">
        <v>818</v>
      </c>
      <c r="H4" s="21" t="s">
        <v>164</v>
      </c>
      <c r="I4" s="21">
        <v>11</v>
      </c>
      <c r="J4" s="21">
        <v>11</v>
      </c>
      <c r="K4" s="21">
        <v>0</v>
      </c>
      <c r="L4" s="21" t="s">
        <v>1057</v>
      </c>
      <c r="M4" s="21" t="s">
        <v>804</v>
      </c>
      <c r="N4" s="21" t="s">
        <v>1055</v>
      </c>
      <c r="O4" s="21" t="s">
        <v>803</v>
      </c>
    </row>
    <row r="5" spans="1:15" ht="24" customHeight="1" x14ac:dyDescent="0.15">
      <c r="A5" s="21" t="s">
        <v>820</v>
      </c>
      <c r="B5" s="21" t="s">
        <v>801</v>
      </c>
      <c r="C5" s="21" t="s">
        <v>821</v>
      </c>
      <c r="D5" s="21" t="s">
        <v>822</v>
      </c>
      <c r="E5" s="21" t="s">
        <v>162</v>
      </c>
      <c r="F5" s="21" t="s">
        <v>151</v>
      </c>
      <c r="G5" s="21" t="s">
        <v>824</v>
      </c>
      <c r="H5" s="21" t="s">
        <v>164</v>
      </c>
      <c r="I5" s="21">
        <v>12</v>
      </c>
      <c r="J5" s="21">
        <v>12</v>
      </c>
      <c r="K5" s="21">
        <v>0</v>
      </c>
      <c r="L5" s="21" t="s">
        <v>1058</v>
      </c>
      <c r="M5" s="21" t="s">
        <v>804</v>
      </c>
      <c r="N5" s="21" t="s">
        <v>1055</v>
      </c>
      <c r="O5" s="21" t="s">
        <v>803</v>
      </c>
    </row>
    <row r="6" spans="1:15" ht="24" customHeight="1" x14ac:dyDescent="0.15">
      <c r="A6" s="21" t="s">
        <v>1059</v>
      </c>
      <c r="B6" s="21" t="s">
        <v>801</v>
      </c>
      <c r="C6" s="21" t="s">
        <v>846</v>
      </c>
      <c r="D6" s="21" t="s">
        <v>1060</v>
      </c>
      <c r="E6" s="21" t="s">
        <v>162</v>
      </c>
      <c r="F6" s="21" t="s">
        <v>157</v>
      </c>
      <c r="G6" s="21"/>
      <c r="H6" s="21"/>
      <c r="I6" s="21">
        <v>17</v>
      </c>
      <c r="J6" s="21"/>
      <c r="K6" s="21"/>
      <c r="L6" s="21" t="s">
        <v>1061</v>
      </c>
      <c r="M6" s="21" t="s">
        <v>804</v>
      </c>
      <c r="N6" s="21" t="s">
        <v>1055</v>
      </c>
      <c r="O6" s="21" t="s">
        <v>803</v>
      </c>
    </row>
    <row r="7" spans="1:15" ht="24" customHeight="1" x14ac:dyDescent="0.15">
      <c r="A7" s="21" t="s">
        <v>826</v>
      </c>
      <c r="B7" s="21" t="s">
        <v>828</v>
      </c>
      <c r="C7" s="21" t="s">
        <v>800</v>
      </c>
      <c r="D7" s="21" t="s">
        <v>829</v>
      </c>
      <c r="E7" s="21" t="s">
        <v>162</v>
      </c>
      <c r="F7" s="21" t="s">
        <v>151</v>
      </c>
      <c r="G7" s="21" t="s">
        <v>832</v>
      </c>
      <c r="H7" s="21" t="s">
        <v>164</v>
      </c>
      <c r="I7" s="21">
        <v>4</v>
      </c>
      <c r="J7" s="21">
        <v>4</v>
      </c>
      <c r="K7" s="21">
        <v>0</v>
      </c>
      <c r="L7" s="21" t="s">
        <v>1062</v>
      </c>
      <c r="M7" s="21" t="s">
        <v>830</v>
      </c>
      <c r="N7" s="21" t="s">
        <v>1063</v>
      </c>
      <c r="O7" s="21"/>
    </row>
    <row r="8" spans="1:15" ht="24" customHeight="1" x14ac:dyDescent="0.15">
      <c r="A8" s="21" t="s">
        <v>834</v>
      </c>
      <c r="B8" s="21" t="s">
        <v>828</v>
      </c>
      <c r="C8" s="21" t="s">
        <v>835</v>
      </c>
      <c r="D8" s="21" t="s">
        <v>836</v>
      </c>
      <c r="E8" s="21" t="s">
        <v>164</v>
      </c>
      <c r="F8" s="21" t="s">
        <v>151</v>
      </c>
      <c r="G8" s="21" t="s">
        <v>838</v>
      </c>
      <c r="H8" s="21" t="s">
        <v>162</v>
      </c>
      <c r="I8" s="21">
        <v>9</v>
      </c>
      <c r="J8" s="21">
        <v>9</v>
      </c>
      <c r="K8" s="21">
        <v>0</v>
      </c>
      <c r="L8" s="21" t="s">
        <v>1064</v>
      </c>
      <c r="M8" s="21" t="s">
        <v>830</v>
      </c>
      <c r="N8" s="21" t="s">
        <v>1063</v>
      </c>
      <c r="O8" s="21"/>
    </row>
    <row r="9" spans="1:15" ht="24" customHeight="1" x14ac:dyDescent="0.15">
      <c r="A9" s="21" t="s">
        <v>840</v>
      </c>
      <c r="B9" s="21" t="s">
        <v>828</v>
      </c>
      <c r="C9" s="21" t="s">
        <v>821</v>
      </c>
      <c r="D9" s="21" t="s">
        <v>841</v>
      </c>
      <c r="E9" s="21" t="s">
        <v>153</v>
      </c>
      <c r="F9" s="21" t="s">
        <v>151</v>
      </c>
      <c r="G9" s="21" t="s">
        <v>843</v>
      </c>
      <c r="H9" s="21" t="s">
        <v>150</v>
      </c>
      <c r="I9" s="21">
        <v>5</v>
      </c>
      <c r="J9" s="21">
        <v>5</v>
      </c>
      <c r="K9" s="21">
        <v>0</v>
      </c>
      <c r="L9" s="21" t="s">
        <v>1065</v>
      </c>
      <c r="M9" s="21" t="s">
        <v>830</v>
      </c>
      <c r="N9" s="21" t="s">
        <v>1063</v>
      </c>
      <c r="O9" s="21"/>
    </row>
    <row r="10" spans="1:15" ht="24" customHeight="1" x14ac:dyDescent="0.15">
      <c r="A10" s="21" t="s">
        <v>845</v>
      </c>
      <c r="B10" s="21" t="s">
        <v>828</v>
      </c>
      <c r="C10" s="21" t="s">
        <v>846</v>
      </c>
      <c r="D10" s="21" t="s">
        <v>847</v>
      </c>
      <c r="E10" s="21" t="s">
        <v>153</v>
      </c>
      <c r="F10" s="21" t="s">
        <v>151</v>
      </c>
      <c r="G10" s="21" t="s">
        <v>849</v>
      </c>
      <c r="H10" s="21" t="s">
        <v>150</v>
      </c>
      <c r="I10" s="21">
        <v>7</v>
      </c>
      <c r="J10" s="21">
        <v>8</v>
      </c>
      <c r="K10" s="21">
        <v>1</v>
      </c>
      <c r="L10" s="21" t="s">
        <v>1066</v>
      </c>
      <c r="M10" s="21" t="s">
        <v>830</v>
      </c>
      <c r="N10" s="21" t="s">
        <v>1063</v>
      </c>
      <c r="O10" s="21"/>
    </row>
    <row r="11" spans="1:15" ht="24" customHeight="1" x14ac:dyDescent="0.15">
      <c r="A11" s="21" t="s">
        <v>1067</v>
      </c>
      <c r="B11" s="21" t="s">
        <v>828</v>
      </c>
      <c r="C11" s="21" t="s">
        <v>809</v>
      </c>
      <c r="D11" s="21" t="s">
        <v>1068</v>
      </c>
      <c r="E11" s="21" t="s">
        <v>162</v>
      </c>
      <c r="F11" s="21" t="s">
        <v>157</v>
      </c>
      <c r="G11" s="21"/>
      <c r="H11" s="21"/>
      <c r="I11" s="21">
        <v>4</v>
      </c>
      <c r="J11" s="21"/>
      <c r="K11" s="21"/>
      <c r="L11" s="21" t="s">
        <v>1069</v>
      </c>
      <c r="M11" s="21" t="s">
        <v>830</v>
      </c>
      <c r="N11" s="21" t="s">
        <v>1063</v>
      </c>
      <c r="O11" s="21"/>
    </row>
    <row r="12" spans="1:15" ht="24" customHeight="1" x14ac:dyDescent="0.15">
      <c r="A12" s="21" t="s">
        <v>1070</v>
      </c>
      <c r="B12" s="21" t="s">
        <v>828</v>
      </c>
      <c r="C12" s="21" t="s">
        <v>815</v>
      </c>
      <c r="D12" s="21" t="s">
        <v>1071</v>
      </c>
      <c r="E12" s="21" t="s">
        <v>153</v>
      </c>
      <c r="F12" s="21" t="s">
        <v>157</v>
      </c>
      <c r="G12" s="21"/>
      <c r="H12" s="21"/>
      <c r="I12" s="21">
        <v>7</v>
      </c>
      <c r="J12" s="21"/>
      <c r="K12" s="21"/>
      <c r="L12" s="21" t="s">
        <v>1072</v>
      </c>
      <c r="M12" s="21" t="s">
        <v>830</v>
      </c>
      <c r="N12" s="21" t="s">
        <v>1063</v>
      </c>
      <c r="O12" s="21"/>
    </row>
    <row r="13" spans="1:15" ht="24" customHeight="1" x14ac:dyDescent="0.15">
      <c r="A13" s="21" t="s">
        <v>875</v>
      </c>
      <c r="B13" s="21" t="s">
        <v>877</v>
      </c>
      <c r="C13" s="21" t="s">
        <v>800</v>
      </c>
      <c r="D13" s="21" t="s">
        <v>878</v>
      </c>
      <c r="E13" s="21" t="s">
        <v>153</v>
      </c>
      <c r="F13" s="21" t="s">
        <v>151</v>
      </c>
      <c r="G13" s="21" t="s">
        <v>881</v>
      </c>
      <c r="H13" s="21" t="s">
        <v>150</v>
      </c>
      <c r="I13" s="21">
        <v>16</v>
      </c>
      <c r="J13" s="21">
        <v>16</v>
      </c>
      <c r="K13" s="21">
        <v>0</v>
      </c>
      <c r="L13" s="21" t="s">
        <v>1073</v>
      </c>
      <c r="M13" s="21" t="s">
        <v>879</v>
      </c>
      <c r="N13" s="21" t="s">
        <v>1074</v>
      </c>
      <c r="O13" s="21"/>
    </row>
    <row r="14" spans="1:15" ht="24" customHeight="1" x14ac:dyDescent="0.15">
      <c r="A14" s="21" t="s">
        <v>883</v>
      </c>
      <c r="B14" s="21" t="s">
        <v>877</v>
      </c>
      <c r="C14" s="21" t="s">
        <v>809</v>
      </c>
      <c r="D14" s="21" t="s">
        <v>884</v>
      </c>
      <c r="E14" s="21" t="s">
        <v>150</v>
      </c>
      <c r="F14" s="21" t="s">
        <v>151</v>
      </c>
      <c r="G14" s="21" t="s">
        <v>886</v>
      </c>
      <c r="H14" s="21" t="s">
        <v>153</v>
      </c>
      <c r="I14" s="21">
        <v>7</v>
      </c>
      <c r="J14" s="21">
        <v>8</v>
      </c>
      <c r="K14" s="21">
        <v>1</v>
      </c>
      <c r="L14" s="21" t="s">
        <v>1075</v>
      </c>
      <c r="M14" s="21" t="s">
        <v>879</v>
      </c>
      <c r="N14" s="21" t="s">
        <v>1074</v>
      </c>
      <c r="O14" s="21"/>
    </row>
    <row r="15" spans="1:15" ht="24" customHeight="1" x14ac:dyDescent="0.15">
      <c r="A15" s="21" t="s">
        <v>888</v>
      </c>
      <c r="B15" s="21" t="s">
        <v>877</v>
      </c>
      <c r="C15" s="21" t="s">
        <v>846</v>
      </c>
      <c r="D15" s="21" t="s">
        <v>889</v>
      </c>
      <c r="E15" s="21" t="s">
        <v>162</v>
      </c>
      <c r="F15" s="21" t="s">
        <v>151</v>
      </c>
      <c r="G15" s="21" t="s">
        <v>891</v>
      </c>
      <c r="H15" s="21" t="s">
        <v>164</v>
      </c>
      <c r="I15" s="21">
        <v>14</v>
      </c>
      <c r="J15" s="21">
        <v>14</v>
      </c>
      <c r="K15" s="21">
        <v>0</v>
      </c>
      <c r="L15" s="21" t="s">
        <v>1076</v>
      </c>
      <c r="M15" s="21" t="s">
        <v>879</v>
      </c>
      <c r="N15" s="21" t="s">
        <v>1074</v>
      </c>
      <c r="O15" s="21"/>
    </row>
    <row r="16" spans="1:15" ht="24" customHeight="1" x14ac:dyDescent="0.15">
      <c r="A16" s="21" t="s">
        <v>893</v>
      </c>
      <c r="B16" s="21" t="s">
        <v>877</v>
      </c>
      <c r="C16" s="21" t="s">
        <v>894</v>
      </c>
      <c r="D16" s="21" t="s">
        <v>895</v>
      </c>
      <c r="E16" s="21" t="s">
        <v>164</v>
      </c>
      <c r="F16" s="21" t="s">
        <v>151</v>
      </c>
      <c r="G16" s="21" t="s">
        <v>897</v>
      </c>
      <c r="H16" s="21" t="s">
        <v>162</v>
      </c>
      <c r="I16" s="21">
        <v>16</v>
      </c>
      <c r="J16" s="21">
        <v>16</v>
      </c>
      <c r="K16" s="21">
        <v>0</v>
      </c>
      <c r="L16" s="21" t="s">
        <v>1077</v>
      </c>
      <c r="M16" s="21" t="s">
        <v>879</v>
      </c>
      <c r="N16" s="21" t="s">
        <v>1074</v>
      </c>
      <c r="O16" s="21"/>
    </row>
    <row r="17" spans="1:15" ht="24" customHeight="1" x14ac:dyDescent="0.15">
      <c r="A17" s="21" t="s">
        <v>1078</v>
      </c>
      <c r="B17" s="21" t="s">
        <v>877</v>
      </c>
      <c r="C17" s="21" t="s">
        <v>835</v>
      </c>
      <c r="D17" s="21" t="s">
        <v>1079</v>
      </c>
      <c r="E17" s="21" t="s">
        <v>153</v>
      </c>
      <c r="F17" s="21" t="s">
        <v>157</v>
      </c>
      <c r="G17" s="21"/>
      <c r="H17" s="21"/>
      <c r="I17" s="21">
        <v>20</v>
      </c>
      <c r="J17" s="21"/>
      <c r="K17" s="21"/>
      <c r="L17" s="21" t="s">
        <v>1080</v>
      </c>
      <c r="M17" s="21" t="s">
        <v>879</v>
      </c>
      <c r="N17" s="21" t="s">
        <v>1074</v>
      </c>
      <c r="O17" s="21"/>
    </row>
    <row r="18" spans="1:15" ht="24" customHeight="1" x14ac:dyDescent="0.15">
      <c r="A18" s="21" t="s">
        <v>1081</v>
      </c>
      <c r="B18" s="21" t="s">
        <v>877</v>
      </c>
      <c r="C18" s="21" t="s">
        <v>1082</v>
      </c>
      <c r="D18" s="21" t="s">
        <v>1083</v>
      </c>
      <c r="E18" s="21" t="s">
        <v>153</v>
      </c>
      <c r="F18" s="21" t="s">
        <v>157</v>
      </c>
      <c r="G18" s="21"/>
      <c r="H18" s="21"/>
      <c r="I18" s="21">
        <v>25</v>
      </c>
      <c r="J18" s="21"/>
      <c r="K18" s="21"/>
      <c r="L18" s="21" t="s">
        <v>1084</v>
      </c>
      <c r="M18" s="21" t="s">
        <v>879</v>
      </c>
      <c r="N18" s="21" t="s">
        <v>1074</v>
      </c>
      <c r="O18" s="21"/>
    </row>
    <row r="19" spans="1:15" ht="24" customHeight="1" x14ac:dyDescent="0.15">
      <c r="A19" s="21" t="s">
        <v>1085</v>
      </c>
      <c r="B19" s="21" t="s">
        <v>877</v>
      </c>
      <c r="C19" s="21" t="s">
        <v>815</v>
      </c>
      <c r="D19" s="21" t="s">
        <v>1086</v>
      </c>
      <c r="E19" s="21" t="s">
        <v>162</v>
      </c>
      <c r="F19" s="21" t="s">
        <v>157</v>
      </c>
      <c r="G19" s="21"/>
      <c r="H19" s="21"/>
      <c r="I19" s="21">
        <v>10</v>
      </c>
      <c r="J19" s="21"/>
      <c r="K19" s="21"/>
      <c r="L19" s="21" t="s">
        <v>1087</v>
      </c>
      <c r="M19" s="21" t="s">
        <v>879</v>
      </c>
      <c r="N19" s="21" t="s">
        <v>1074</v>
      </c>
      <c r="O19" s="21"/>
    </row>
    <row r="20" spans="1:15" ht="24" customHeight="1" x14ac:dyDescent="0.15">
      <c r="A20" s="21" t="s">
        <v>1088</v>
      </c>
      <c r="B20" s="21" t="s">
        <v>877</v>
      </c>
      <c r="C20" s="21" t="s">
        <v>821</v>
      </c>
      <c r="D20" s="21" t="s">
        <v>1089</v>
      </c>
      <c r="E20" s="21" t="s">
        <v>162</v>
      </c>
      <c r="F20" s="21" t="s">
        <v>157</v>
      </c>
      <c r="G20" s="21"/>
      <c r="H20" s="21"/>
      <c r="I20" s="21">
        <v>13</v>
      </c>
      <c r="J20" s="21"/>
      <c r="K20" s="21"/>
      <c r="L20" s="21" t="s">
        <v>1090</v>
      </c>
      <c r="M20" s="21" t="s">
        <v>879</v>
      </c>
      <c r="N20" s="21" t="s">
        <v>1074</v>
      </c>
      <c r="O20" s="21"/>
    </row>
    <row r="21" spans="1:15" ht="24" customHeight="1" x14ac:dyDescent="0.15">
      <c r="A21" s="21" t="s">
        <v>851</v>
      </c>
      <c r="B21" s="21" t="s">
        <v>853</v>
      </c>
      <c r="C21" s="21" t="s">
        <v>800</v>
      </c>
      <c r="D21" s="21" t="s">
        <v>854</v>
      </c>
      <c r="E21" s="21" t="s">
        <v>164</v>
      </c>
      <c r="F21" s="21" t="s">
        <v>151</v>
      </c>
      <c r="G21" s="21" t="s">
        <v>858</v>
      </c>
      <c r="H21" s="21" t="s">
        <v>162</v>
      </c>
      <c r="I21" s="21">
        <v>22</v>
      </c>
      <c r="J21" s="21">
        <v>22</v>
      </c>
      <c r="K21" s="21">
        <v>0</v>
      </c>
      <c r="L21" s="21" t="s">
        <v>1091</v>
      </c>
      <c r="M21" s="21" t="s">
        <v>856</v>
      </c>
      <c r="N21" s="21" t="s">
        <v>1092</v>
      </c>
      <c r="O21" s="21" t="s">
        <v>855</v>
      </c>
    </row>
    <row r="22" spans="1:15" ht="24" customHeight="1" x14ac:dyDescent="0.15">
      <c r="A22" s="21" t="s">
        <v>860</v>
      </c>
      <c r="B22" s="21" t="s">
        <v>853</v>
      </c>
      <c r="C22" s="21" t="s">
        <v>809</v>
      </c>
      <c r="D22" s="21" t="s">
        <v>861</v>
      </c>
      <c r="E22" s="21" t="s">
        <v>164</v>
      </c>
      <c r="F22" s="21" t="s">
        <v>151</v>
      </c>
      <c r="G22" s="21" t="s">
        <v>863</v>
      </c>
      <c r="H22" s="21" t="s">
        <v>162</v>
      </c>
      <c r="I22" s="21">
        <v>15</v>
      </c>
      <c r="J22" s="21">
        <v>15</v>
      </c>
      <c r="K22" s="21">
        <v>0</v>
      </c>
      <c r="L22" s="21" t="s">
        <v>1093</v>
      </c>
      <c r="M22" s="21" t="s">
        <v>856</v>
      </c>
      <c r="N22" s="21" t="s">
        <v>1092</v>
      </c>
      <c r="O22" s="21" t="s">
        <v>855</v>
      </c>
    </row>
    <row r="23" spans="1:15" ht="24" customHeight="1" x14ac:dyDescent="0.15">
      <c r="A23" s="21" t="s">
        <v>865</v>
      </c>
      <c r="B23" s="21" t="s">
        <v>853</v>
      </c>
      <c r="C23" s="21" t="s">
        <v>815</v>
      </c>
      <c r="D23" s="21" t="s">
        <v>866</v>
      </c>
      <c r="E23" s="21" t="s">
        <v>153</v>
      </c>
      <c r="F23" s="21" t="s">
        <v>151</v>
      </c>
      <c r="G23" s="21" t="s">
        <v>868</v>
      </c>
      <c r="H23" s="21" t="s">
        <v>150</v>
      </c>
      <c r="I23" s="21">
        <v>11</v>
      </c>
      <c r="J23" s="21">
        <v>11</v>
      </c>
      <c r="K23" s="21">
        <v>0</v>
      </c>
      <c r="L23" s="21" t="s">
        <v>1094</v>
      </c>
      <c r="M23" s="21" t="s">
        <v>856</v>
      </c>
      <c r="N23" s="21" t="s">
        <v>1092</v>
      </c>
      <c r="O23" s="21" t="s">
        <v>855</v>
      </c>
    </row>
    <row r="24" spans="1:15" ht="24" customHeight="1" x14ac:dyDescent="0.15">
      <c r="A24" s="21" t="s">
        <v>870</v>
      </c>
      <c r="B24" s="21" t="s">
        <v>853</v>
      </c>
      <c r="C24" s="21" t="s">
        <v>821</v>
      </c>
      <c r="D24" s="21" t="s">
        <v>871</v>
      </c>
      <c r="E24" s="21" t="s">
        <v>153</v>
      </c>
      <c r="F24" s="21" t="s">
        <v>151</v>
      </c>
      <c r="G24" s="21" t="s">
        <v>873</v>
      </c>
      <c r="H24" s="21" t="s">
        <v>150</v>
      </c>
      <c r="I24" s="21">
        <v>13</v>
      </c>
      <c r="J24" s="21">
        <v>13</v>
      </c>
      <c r="K24" s="21">
        <v>0</v>
      </c>
      <c r="L24" s="21" t="s">
        <v>1095</v>
      </c>
      <c r="M24" s="21" t="s">
        <v>856</v>
      </c>
      <c r="N24" s="21" t="s">
        <v>1092</v>
      </c>
      <c r="O24" s="21" t="s">
        <v>855</v>
      </c>
    </row>
  </sheetData>
  <conditionalFormatting sqref="E2:E24">
    <cfRule type="containsText" dxfId="11" priority="1" operator="containsText" text="Left"/>
    <cfRule type="containsText" dxfId="10" priority="2" operator="containsText" text="Extreme left"/>
    <cfRule type="containsText" dxfId="9" priority="3" operator="containsText" text="Right"/>
    <cfRule type="containsText" dxfId="8" priority="4" operator="containsText" text="Extreme right"/>
  </conditionalFormatting>
  <conditionalFormatting sqref="F2:F24">
    <cfRule type="containsText" dxfId="7" priority="5" operator="containsText" text="Yes"/>
    <cfRule type="containsText" dxfId="6" priority="6" operator="containsText" text="No"/>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Original 100 screening</vt:lpstr>
      <vt:lpstr>CSV screening</vt:lpstr>
      <vt:lpstr>Selected stimuli 88</vt:lpstr>
      <vt:lpstr>Balance summary</vt:lpstr>
      <vt:lpstr>Coding notes</vt:lpstr>
      <vt:lpstr>Screenshot screening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Sonja Perkovic</cp:lastModifiedBy>
  <dcterms:created xsi:type="dcterms:W3CDTF">2026-08-20T06:46:42Z</dcterms:created>
  <dcterms:modified xsi:type="dcterms:W3CDTF">2026-08-20T06:55:32Z</dcterms:modified>
</cp:coreProperties>
</file>